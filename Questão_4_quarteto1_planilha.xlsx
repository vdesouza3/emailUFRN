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_Planck_Com_Iteracoes_V" sheetId="1" r:id="rId5"/>
  </sheets>
  <definedNames/>
  <calcPr/>
</workbook>
</file>

<file path=xl/sharedStrings.xml><?xml version="1.0" encoding="utf-8"?>
<sst xmlns="http://schemas.openxmlformats.org/spreadsheetml/2006/main" count="33" uniqueCount="26">
  <si>
    <t>CONFIGURAÇÃO DA PLANILHA</t>
  </si>
  <si>
    <t>Temperatura (C)</t>
  </si>
  <si>
    <t>Temperatura (K)</t>
  </si>
  <si>
    <t>Constante C1</t>
  </si>
  <si>
    <t>Constante C2</t>
  </si>
  <si>
    <t>x_max de Wien</t>
  </si>
  <si>
    <t>METODO DE NEWTON-RAPHSON (ITERAÇÕES DO SCRIPT)</t>
  </si>
  <si>
    <t>LADO 1: ONDAS LONGAS (Fator 1,82)</t>
  </si>
  <si>
    <t>Iteracao</t>
  </si>
  <si>
    <t>x_atual</t>
  </si>
  <si>
    <t>f(x) - 10,60</t>
  </si>
  <si>
    <t>h'(x)</t>
  </si>
  <si>
    <t>proximo_x</t>
  </si>
  <si>
    <t>0 (Chute Inicial)</t>
  </si>
  <si>
    <t>LADO 2: ONDAS CURTAS (Fator 0,61)</t>
  </si>
  <si>
    <t>FATORES EXTRAIDOS</t>
  </si>
  <si>
    <t>Fator 1 (Ondas Curtas)</t>
  </si>
  <si>
    <t>Fator 2 (Ondas Longas)</t>
  </si>
  <si>
    <t>RESULTADOS FINAIS PARA 24°C</t>
  </si>
  <si>
    <t>Lambda Max (Wien)</t>
  </si>
  <si>
    <t>Lambda 1 (Metade Esq)</t>
  </si>
  <si>
    <t>Lambda 2 (Metade Dir)</t>
  </si>
  <si>
    <t>TABELA DE DADOS COMPLETA (CURVA DE PLANCK)</t>
  </si>
  <si>
    <t>Lambda (um)</t>
  </si>
  <si>
    <t>Radiancia B_lambda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</si>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</sst>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Radiancia B_lambda versus Lambda (um)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Planilha_Planck_Com_Iteracoes_V!$B$34:$B$35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12"/>
            <c:marker>
              <c:symbol val="circle"/>
              <c:size val="10"/>
              <c:spPr>
                <a:solidFill>
                  <a:srgbClr val="FF0000"/>
                </a:solidFill>
                <a:ln cmpd="sng">
                  <a:solidFill>
                    <a:srgbClr val="FF0000"/>
                  </a:solidFill>
                </a:ln>
              </c:spPr>
            </c:marker>
          </c:dPt>
          <c:dPt>
            <c:idx val="18"/>
            <c:marker>
              <c:symbol val="circle"/>
              <c:size val="10"/>
              <c:spPr>
                <a:solidFill>
                  <a:srgbClr val="0000FF"/>
                </a:solidFill>
                <a:ln cmpd="sng">
                  <a:solidFill>
                    <a:srgbClr val="0000FF"/>
                  </a:solidFill>
                </a:ln>
              </c:spPr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circle"/>
              <c:size val="10"/>
              <c:spPr>
                <a:solidFill>
                  <a:srgbClr val="FF0000"/>
                </a:solidFill>
                <a:ln cmpd="sng">
                  <a:solidFill>
                    <a:srgbClr val="FF0000"/>
                  </a:solidFill>
                </a:ln>
              </c:spPr>
            </c:marker>
          </c:dPt>
          <c:cat>
            <c:strRef>
              <c:f>Planilha_Planck_Com_Iteracoes_V!$A$36:$A$71</c:f>
            </c:strRef>
          </c:cat>
          <c:val>
            <c:numRef>
              <c:f>Planilha_Planck_Com_Iteracoes_V!$B$36:$B$71</c:f>
              <c:numCache/>
            </c:numRef>
          </c:val>
          <c:smooth val="1"/>
        </c:ser>
        <c:axId val="130136909"/>
        <c:axId val="756552642"/>
      </c:lineChart>
      <c:catAx>
        <c:axId val="130136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Lambda (um)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552642"/>
      </c:catAx>
      <c:valAx>
        <c:axId val="756552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Radiancia B_lambda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36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43</xdr:row>
      <xdr:rowOff>104775</xdr:rowOff>
    </xdr:from>
    <xdr:ext cx="6638925" cy="41052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24.0"/>
    <col customWidth="1" min="3" max="3" width="23.38"/>
  </cols>
  <sheetData>
    <row r="1">
      <c r="A1" s="1" t="s">
        <v>0</v>
      </c>
    </row>
    <row r="2">
      <c r="A2" s="1" t="s">
        <v>1</v>
      </c>
      <c r="B2" s="2">
        <v>24.0</v>
      </c>
    </row>
    <row r="3">
      <c r="A3" s="1" t="s">
        <v>2</v>
      </c>
      <c r="B3" s="3">
        <f>B2+273.15</f>
        <v>297.15</v>
      </c>
    </row>
    <row r="4">
      <c r="A4" s="1" t="s">
        <v>3</v>
      </c>
      <c r="B4" s="2">
        <v>1.19104E8</v>
      </c>
    </row>
    <row r="5">
      <c r="A5" s="1" t="s">
        <v>4</v>
      </c>
      <c r="B5" s="2">
        <v>14387.7</v>
      </c>
    </row>
    <row r="6">
      <c r="A6" s="1" t="s">
        <v>5</v>
      </c>
      <c r="B6" s="4">
        <v>496.511</v>
      </c>
    </row>
    <row r="7">
      <c r="A7" s="5"/>
    </row>
    <row r="8">
      <c r="A8" s="1" t="s">
        <v>6</v>
      </c>
    </row>
    <row r="9">
      <c r="A9" s="1" t="s">
        <v>7</v>
      </c>
    </row>
    <row r="10">
      <c r="A10" s="1" t="s">
        <v>8</v>
      </c>
      <c r="B10" s="2" t="s">
        <v>9</v>
      </c>
      <c r="C10" s="2" t="s">
        <v>10</v>
      </c>
      <c r="D10" s="2" t="s">
        <v>11</v>
      </c>
      <c r="E10" s="2" t="s">
        <v>12</v>
      </c>
    </row>
    <row r="11">
      <c r="A11" s="1" t="s">
        <v>13</v>
      </c>
      <c r="B11" s="2">
        <v>2.0</v>
      </c>
    </row>
    <row r="12">
      <c r="A12" s="1">
        <v>1.0</v>
      </c>
      <c r="B12" s="3">
        <f>B11</f>
        <v>2</v>
      </c>
      <c r="C12" s="3">
        <f t="shared" ref="C12:C15" si="1">(B12^5)/(EXP(B12)-1)-10.6007178</f>
        <v>-5.592153232</v>
      </c>
      <c r="D12" s="3">
        <f t="shared" ref="D12:D15" si="2">(B12^4*(5*(EXP(B12)-1)-B12*EXP(B12)))/(EXP(B12)-1)^2</f>
        <v>6.728918132</v>
      </c>
      <c r="E12" s="3">
        <f t="shared" ref="E12:E15" si="3">B12-C12/D12</f>
        <v>2.831062754</v>
      </c>
    </row>
    <row r="13">
      <c r="A13" s="1">
        <v>2.0</v>
      </c>
      <c r="B13" s="3">
        <f t="shared" ref="B13:B15" si="4">E12</f>
        <v>2.831062754</v>
      </c>
      <c r="C13" s="3">
        <f t="shared" si="1"/>
        <v>0.7918055777</v>
      </c>
      <c r="D13" s="3">
        <f t="shared" si="2"/>
        <v>8.014392214</v>
      </c>
      <c r="E13" s="3">
        <f t="shared" si="3"/>
        <v>2.732264797</v>
      </c>
    </row>
    <row r="14">
      <c r="A14" s="1">
        <v>3.0</v>
      </c>
      <c r="B14" s="3">
        <f t="shared" si="4"/>
        <v>2.732264797</v>
      </c>
      <c r="C14" s="3">
        <f t="shared" si="1"/>
        <v>-0.002615065846</v>
      </c>
      <c r="D14" s="3">
        <f t="shared" si="2"/>
        <v>8.058615996</v>
      </c>
      <c r="E14" s="3">
        <f t="shared" si="3"/>
        <v>2.732589302</v>
      </c>
    </row>
    <row r="15">
      <c r="A15" s="1">
        <v>4.0</v>
      </c>
      <c r="B15" s="3">
        <f t="shared" si="4"/>
        <v>2.732589302</v>
      </c>
      <c r="C15" s="3">
        <f t="shared" si="1"/>
        <v>-0.000000009595739314</v>
      </c>
      <c r="D15" s="3">
        <f t="shared" si="2"/>
        <v>8.05855676</v>
      </c>
      <c r="E15" s="3">
        <f t="shared" si="3"/>
        <v>2.732589303</v>
      </c>
    </row>
    <row r="16">
      <c r="A16" s="5"/>
    </row>
    <row r="17">
      <c r="A17" s="1" t="s">
        <v>14</v>
      </c>
    </row>
    <row r="18">
      <c r="A18" s="1" t="s">
        <v>8</v>
      </c>
      <c r="B18" s="2" t="s">
        <v>9</v>
      </c>
      <c r="C18" s="2" t="s">
        <v>10</v>
      </c>
      <c r="D18" s="2" t="s">
        <v>11</v>
      </c>
      <c r="E18" s="2" t="s">
        <v>12</v>
      </c>
    </row>
    <row r="19">
      <c r="A19" s="1" t="s">
        <v>13</v>
      </c>
      <c r="B19" s="2">
        <v>9.0</v>
      </c>
    </row>
    <row r="20">
      <c r="A20" s="1">
        <v>1.0</v>
      </c>
      <c r="B20" s="3">
        <f>B19</f>
        <v>9</v>
      </c>
      <c r="C20" s="3">
        <f t="shared" ref="C20:C23" si="5">(B20^5)/(EXP(B20)-1)-10.6007178</f>
        <v>-3.312592852</v>
      </c>
      <c r="D20" s="3">
        <f t="shared" ref="D20:D23" si="6">(B20^4*(5*(EXP(B20)-1)-B20*EXP(B20)))/(EXP(B20)-1)^2</f>
        <v>-3.24006618</v>
      </c>
      <c r="E20" s="3">
        <f t="shared" ref="E20:E23" si="7">B20-C20/D20</f>
        <v>7.977615682</v>
      </c>
    </row>
    <row r="21">
      <c r="A21" s="1">
        <v>2.0</v>
      </c>
      <c r="B21" s="3">
        <f t="shared" ref="B21:B23" si="8">E20</f>
        <v>7.977615682</v>
      </c>
      <c r="C21" s="3">
        <f t="shared" si="5"/>
        <v>0.4879684724</v>
      </c>
      <c r="D21" s="3">
        <f t="shared" si="6"/>
        <v>-4.142616676</v>
      </c>
      <c r="E21" s="3">
        <f t="shared" si="7"/>
        <v>8.095408012</v>
      </c>
    </row>
    <row r="22">
      <c r="A22" s="1">
        <v>3.0</v>
      </c>
      <c r="B22" s="3">
        <f t="shared" si="8"/>
        <v>8.095408012</v>
      </c>
      <c r="C22" s="3">
        <f t="shared" si="5"/>
        <v>0.004879561032</v>
      </c>
      <c r="D22" s="3">
        <f t="shared" si="6"/>
        <v>-4.058453852</v>
      </c>
      <c r="E22" s="3">
        <f t="shared" si="7"/>
        <v>8.096610333</v>
      </c>
    </row>
    <row r="23">
      <c r="A23" s="1">
        <v>4.0</v>
      </c>
      <c r="B23" s="3">
        <f t="shared" si="8"/>
        <v>8.096610333</v>
      </c>
      <c r="C23" s="3">
        <f t="shared" si="5"/>
        <v>0.000000540176444</v>
      </c>
      <c r="D23" s="3">
        <f t="shared" si="6"/>
        <v>-4.057555168</v>
      </c>
      <c r="E23" s="3">
        <f t="shared" si="7"/>
        <v>8.096610466</v>
      </c>
    </row>
    <row r="24">
      <c r="A24" s="5"/>
    </row>
    <row r="25">
      <c r="A25" s="1" t="s">
        <v>15</v>
      </c>
    </row>
    <row r="26">
      <c r="A26" s="1" t="s">
        <v>16</v>
      </c>
      <c r="B26" s="3">
        <f>$B$6/E23</f>
        <v>61.32331574</v>
      </c>
    </row>
    <row r="27">
      <c r="A27" s="1" t="s">
        <v>17</v>
      </c>
      <c r="B27" s="3">
        <f>$B$6/E15</f>
        <v>181.6998257</v>
      </c>
    </row>
    <row r="28">
      <c r="A28" s="5"/>
    </row>
    <row r="29">
      <c r="A29" s="1" t="s">
        <v>18</v>
      </c>
    </row>
    <row r="30">
      <c r="A30" s="1" t="s">
        <v>19</v>
      </c>
      <c r="B30" s="3">
        <f>2897.8/B3</f>
        <v>9.751977116</v>
      </c>
    </row>
    <row r="31">
      <c r="A31" s="1" t="s">
        <v>20</v>
      </c>
      <c r="B31" s="3">
        <f>B26*B29</f>
        <v>0</v>
      </c>
    </row>
    <row r="32">
      <c r="A32" s="1" t="s">
        <v>21</v>
      </c>
      <c r="B32" s="3">
        <f>B27*B29</f>
        <v>0</v>
      </c>
    </row>
    <row r="33">
      <c r="A33" s="5"/>
    </row>
    <row r="34">
      <c r="A34" s="1" t="s">
        <v>22</v>
      </c>
    </row>
    <row r="35">
      <c r="A35" s="1" t="s">
        <v>23</v>
      </c>
      <c r="B35" s="2" t="s">
        <v>24</v>
      </c>
    </row>
    <row r="36">
      <c r="A36" s="1">
        <v>1.0</v>
      </c>
      <c r="B36" s="3">
        <f>$B$4/($A36^5*(EXP($B$5/($A36*$B$3))-1))</f>
        <v>0</v>
      </c>
    </row>
    <row r="37">
      <c r="A37" s="1">
        <v>1.5</v>
      </c>
      <c r="B37" s="3">
        <f t="shared" ref="B37:B71" si="9">$B$4/($A36^5*(EXP($B$5/($A36*$B$3))-1))</f>
        <v>0</v>
      </c>
    </row>
    <row r="38">
      <c r="A38" s="1">
        <v>2.0</v>
      </c>
      <c r="B38" s="3">
        <f t="shared" si="9"/>
        <v>0.000000150224029</v>
      </c>
    </row>
    <row r="39">
      <c r="A39" s="1">
        <v>2.5</v>
      </c>
      <c r="B39" s="3">
        <f t="shared" si="9"/>
        <v>0.0001139536877</v>
      </c>
    </row>
    <row r="40">
      <c r="A40" s="1">
        <v>3.0</v>
      </c>
      <c r="B40" s="3">
        <f t="shared" si="9"/>
        <v>0.004731380958</v>
      </c>
    </row>
    <row r="41">
      <c r="A41" s="1">
        <v>3.5</v>
      </c>
      <c r="B41" s="3">
        <f t="shared" si="9"/>
        <v>0.04796835143</v>
      </c>
    </row>
    <row r="42">
      <c r="A42" s="1">
        <v>4.0</v>
      </c>
      <c r="B42" s="3">
        <f t="shared" si="9"/>
        <v>0.2226174132</v>
      </c>
    </row>
    <row r="43">
      <c r="A43" s="1">
        <v>4.5</v>
      </c>
      <c r="B43" s="3">
        <f t="shared" si="9"/>
        <v>0.6435833517</v>
      </c>
    </row>
    <row r="44">
      <c r="A44" s="1">
        <v>5.0</v>
      </c>
      <c r="B44" s="3">
        <f t="shared" si="9"/>
        <v>1.370764302</v>
      </c>
    </row>
    <row r="45">
      <c r="A45" s="1">
        <v>5.5</v>
      </c>
      <c r="B45" s="3">
        <f t="shared" si="9"/>
        <v>2.374018955</v>
      </c>
    </row>
    <row r="46">
      <c r="A46" s="1">
        <v>6.0</v>
      </c>
      <c r="B46" s="3">
        <f t="shared" si="9"/>
        <v>3.555395884</v>
      </c>
    </row>
    <row r="47">
      <c r="A47" s="1">
        <v>6.5</v>
      </c>
      <c r="B47" s="3">
        <f t="shared" si="9"/>
        <v>4.793175359</v>
      </c>
    </row>
    <row r="48">
      <c r="A48" s="1">
        <v>7.0</v>
      </c>
      <c r="B48" s="3">
        <f t="shared" si="9"/>
        <v>5.97751536</v>
      </c>
    </row>
    <row r="49">
      <c r="A49" s="1">
        <v>7.5</v>
      </c>
      <c r="B49" s="3">
        <f t="shared" si="9"/>
        <v>7.028343029</v>
      </c>
    </row>
    <row r="50">
      <c r="A50" s="1">
        <v>8.0</v>
      </c>
      <c r="B50" s="3">
        <f t="shared" si="9"/>
        <v>7.898722135</v>
      </c>
    </row>
    <row r="51">
      <c r="A51" s="1">
        <v>8.5</v>
      </c>
      <c r="B51" s="3">
        <f t="shared" si="9"/>
        <v>8.570125846</v>
      </c>
    </row>
    <row r="52">
      <c r="A52" s="1">
        <v>9.0</v>
      </c>
      <c r="B52" s="3">
        <f t="shared" si="9"/>
        <v>9.044800175</v>
      </c>
    </row>
    <row r="53">
      <c r="A53" s="1">
        <v>9.5</v>
      </c>
      <c r="B53" s="3">
        <f t="shared" si="9"/>
        <v>9.338232794</v>
      </c>
    </row>
    <row r="54">
      <c r="A54" s="1">
        <v>10.0</v>
      </c>
      <c r="B54" s="3">
        <f t="shared" si="9"/>
        <v>9.473034853</v>
      </c>
    </row>
    <row r="55">
      <c r="A55" s="1">
        <v>11.0</v>
      </c>
      <c r="B55" s="3">
        <f t="shared" si="9"/>
        <v>9.474533267</v>
      </c>
    </row>
    <row r="56">
      <c r="A56" s="1">
        <v>12.0</v>
      </c>
      <c r="B56" s="3">
        <f t="shared" si="9"/>
        <v>9.176424788</v>
      </c>
    </row>
    <row r="57">
      <c r="A57" s="1">
        <v>13.0</v>
      </c>
      <c r="B57" s="3">
        <f t="shared" si="9"/>
        <v>8.61844621</v>
      </c>
    </row>
    <row r="58">
      <c r="A58" s="1">
        <v>14.0</v>
      </c>
      <c r="B58" s="3">
        <f t="shared" si="9"/>
        <v>7.929927631</v>
      </c>
    </row>
    <row r="59">
      <c r="A59" s="1">
        <v>15.0</v>
      </c>
      <c r="B59" s="3">
        <f t="shared" si="9"/>
        <v>7.197296082</v>
      </c>
    </row>
    <row r="60">
      <c r="A60" s="1">
        <v>16.0</v>
      </c>
      <c r="B60" s="3">
        <f t="shared" si="9"/>
        <v>6.47385022</v>
      </c>
    </row>
    <row r="61">
      <c r="A61" s="1">
        <v>17.0</v>
      </c>
      <c r="B61" s="3">
        <f t="shared" si="9"/>
        <v>5.789775958</v>
      </c>
    </row>
    <row r="62">
      <c r="A62" s="1">
        <v>18.0</v>
      </c>
      <c r="B62" s="3">
        <f t="shared" si="9"/>
        <v>5.160133629</v>
      </c>
    </row>
    <row r="63">
      <c r="A63" s="1">
        <v>19.0</v>
      </c>
      <c r="B63" s="3">
        <f t="shared" si="9"/>
        <v>4.590570597</v>
      </c>
    </row>
    <row r="64">
      <c r="A64" s="1">
        <v>20.0</v>
      </c>
      <c r="B64" s="3">
        <f t="shared" si="9"/>
        <v>4.081164519</v>
      </c>
    </row>
    <row r="65">
      <c r="A65" s="1">
        <v>22.0</v>
      </c>
      <c r="B65" s="3">
        <f t="shared" si="9"/>
        <v>3.628905199</v>
      </c>
    </row>
    <row r="66">
      <c r="A66" s="1">
        <v>25.0</v>
      </c>
      <c r="B66" s="3">
        <f t="shared" si="9"/>
        <v>2.877039474</v>
      </c>
    </row>
    <row r="67">
      <c r="A67" s="1">
        <v>30.0</v>
      </c>
      <c r="B67" s="3">
        <f t="shared" si="9"/>
        <v>2.0545427</v>
      </c>
    </row>
    <row r="68">
      <c r="A68" s="1">
        <v>35.0</v>
      </c>
      <c r="B68" s="3">
        <f t="shared" si="9"/>
        <v>1.21843765</v>
      </c>
    </row>
    <row r="69">
      <c r="A69" s="1">
        <v>40.0</v>
      </c>
      <c r="B69" s="3">
        <f t="shared" si="9"/>
        <v>0.7588256686</v>
      </c>
    </row>
    <row r="70">
      <c r="A70" s="1">
        <v>45.0</v>
      </c>
      <c r="B70" s="3">
        <f t="shared" si="9"/>
        <v>0.4938799679</v>
      </c>
    </row>
    <row r="71">
      <c r="A71" s="1">
        <v>50.0</v>
      </c>
      <c r="B71" s="3">
        <f t="shared" si="9"/>
        <v>0.3339364696</v>
      </c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  <c r="E90" s="2" t="s">
        <v>25</v>
      </c>
      <c r="F90" s="2" t="s">
        <v>25</v>
      </c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