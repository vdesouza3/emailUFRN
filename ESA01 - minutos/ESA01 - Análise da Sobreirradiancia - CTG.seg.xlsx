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01 - GHI1" sheetId="1" r:id="rId4"/>
    <sheet state="visible" name="ESA01 - GHI2" sheetId="2" r:id="rId5"/>
    <sheet state="visible" name="ESA01 - GHI3" sheetId="3" r:id="rId6"/>
    <sheet state="visible" name="Comparação" sheetId="4" r:id="rId7"/>
    <sheet state="visible" name="Gráficos" sheetId="5" r:id="rId8"/>
  </sheets>
  <definedNames/>
  <calcPr/>
  <extLst>
    <ext uri="GoogleSheetsCustomDataVersion2">
      <go:sheetsCustomData xmlns:go="http://customooxmlschemas.google.com/" r:id="rId9" roundtripDataChecksum="LXCK+KJ6SjZEikPt+/sI7zGCRCx0nYswYl9X+uPv4LY="/>
    </ext>
  </extLst>
</workbook>
</file>

<file path=xl/sharedStrings.xml><?xml version="1.0" encoding="utf-8"?>
<sst xmlns="http://schemas.openxmlformats.org/spreadsheetml/2006/main" count="339" uniqueCount="63">
  <si>
    <t>Mês/ano</t>
  </si>
  <si>
    <t>Quant de eventos &gt; 1000  W/m²</t>
  </si>
  <si>
    <t>Qt. de eventos  &gt; 1367  W/m²</t>
  </si>
  <si>
    <t>Total de eventos</t>
  </si>
  <si>
    <t>Qt. eventos  &lt; 30 segundos | &gt;1000 e &lt;1367 W/m²</t>
  </si>
  <si>
    <t>Valor médio dos eventos  &lt; 30 segundos | &gt;1000 e &lt;1367 W/m²</t>
  </si>
  <si>
    <t>Valor máximo dos eventos  &lt; 30 segundos | &gt;1000 e &lt;1367 W/m²</t>
  </si>
  <si>
    <t>Qt. eventos 30&lt;-&gt;60 segundos | &gt;1000 e &lt;1367 W/m²</t>
  </si>
  <si>
    <t>Valor médio dos eventos 30&lt;-&gt;60 segundos | &gt;1000 e &lt;1367 W/m²</t>
  </si>
  <si>
    <t>Valor máximo dos eventos 30&lt;-&gt;60 segundos | &gt;1000 e &lt;1367 W/m²</t>
  </si>
  <si>
    <t>Qt. eventos 60&lt;-&gt;120 segundos | &gt;1000 e &lt;1367 W/m²</t>
  </si>
  <si>
    <t>Valor médio dos eventos 60&lt;-&gt;120 segundos | &gt;1000 e &lt;1367 W/m²</t>
  </si>
  <si>
    <t>Valor máximo dos eventos 60&lt;-&gt;120 segundos | &gt;1000 e &lt;1367 W/m²</t>
  </si>
  <si>
    <t>Qt. eventos &lt; 120&lt;-&gt;180 segundos | &gt;1000 e &lt;1367 W/m²</t>
  </si>
  <si>
    <t>Valor médio dos eventos  &lt; 120&lt;-&gt;180 segundos | &gt;1000 e &lt;1367 W/m²</t>
  </si>
  <si>
    <t>Valor máximo dos eventos &lt; 120&lt;-&gt;180 segundos | &gt;1000 e &lt;1367 W/m²</t>
  </si>
  <si>
    <t>Qt. eventos &gt; 180 segundos | &gt;1000 e &lt;1367 W/m²</t>
  </si>
  <si>
    <t>Valor médio dos eventos  &gt; 180 segundos | &gt;1000 e &lt;1367 W/m²</t>
  </si>
  <si>
    <t>Valor máximo dos eventos  &gt; 180 segundos | &gt;1000 e &lt;1367 W/m²</t>
  </si>
  <si>
    <t>Qt. eventos  &lt; 30 segundos | &gt;1367 W/m²</t>
  </si>
  <si>
    <t>Valor médio dos eventos  &lt; 30 segundos | &gt;1367 W/m²</t>
  </si>
  <si>
    <t>Valor máximo dos eventos  &lt; 30 segundos | &gt;1367 W/m²</t>
  </si>
  <si>
    <t>Qt. eventos 30&lt;-&gt;60 segundos | &gt;1367 W/m²</t>
  </si>
  <si>
    <t>Valor médio dos eventos 30&lt;-&gt;60 segundos | &gt;1367 W/m²</t>
  </si>
  <si>
    <t>Valor máximo dos eventos 30&lt;-&gt;60 segundos | &gt;1367 W/m²</t>
  </si>
  <si>
    <t>Qt. eventos 60&lt;-&gt;120 segundos | &gt;1367 W/m²</t>
  </si>
  <si>
    <t>Valor médio dos eventos 60&lt;-&gt;120 segundos | &gt;1367 W/m²</t>
  </si>
  <si>
    <t>Valor máximo dos eventos 60&lt;-&gt;120 segundos | &gt;1367 W/m²</t>
  </si>
  <si>
    <t>Qt. eventos &lt; 120&lt;-&gt;180 segundos | &gt;1367 W/m²</t>
  </si>
  <si>
    <t>Valor médio dos eventos  &lt; 120&lt;-&gt;180 segundos | &gt;1367 W/m²</t>
  </si>
  <si>
    <t>Valor máximo dos eventos &lt; 120&lt;-&gt;180 segundos | &gt;1367 W/m²</t>
  </si>
  <si>
    <t>Qt. eventos &gt; 180 segundos | &gt;1367 W/m²</t>
  </si>
  <si>
    <t>Valor médio dos eventos  &gt; 180 segundos | &gt;1367 W/m²</t>
  </si>
  <si>
    <t>Valor máximo dos eventos  &gt; 180 segundos | &gt;1367 W/m²</t>
  </si>
  <si>
    <t>Qt. eventos &lt; 30 segundos | Total</t>
  </si>
  <si>
    <t>Qt. eventos 30&lt;-&gt;60 segundos | Total</t>
  </si>
  <si>
    <t>Qt. eventos 60&lt;-&gt;120 segundos | Total</t>
  </si>
  <si>
    <t>Qt. eventos &lt; 120&lt;-&gt;180 segundos | Total</t>
  </si>
  <si>
    <t>Qt. eventos &gt; 180 segundos | Total</t>
  </si>
  <si>
    <t>Hora/Dia do maior evento</t>
  </si>
  <si>
    <t>Valor do maior evento em W/m²</t>
  </si>
  <si>
    <t>Dia/Hora do Evento de maior duração  &gt;1000 e &lt;1367 W/m²</t>
  </si>
  <si>
    <t>Duração do Evento &gt;1000 e &lt;1367 W/m²</t>
  </si>
  <si>
    <t>Valor médio do evento de maior duração &gt;1000 e &lt; 1367 W/m²</t>
  </si>
  <si>
    <t>Valor máximo do evento de maior duração &gt;1000 e &lt; 1367 W/m²</t>
  </si>
  <si>
    <t>Dia/Hora do Evento de maior duração  &gt;1367 W/m²</t>
  </si>
  <si>
    <t>Duração Evento  &gt;1367 W/m²</t>
  </si>
  <si>
    <t>Ocorrências</t>
  </si>
  <si>
    <t xml:space="preserve"> 1000 ≥ Ig &lt; 1300 W/m²</t>
  </si>
  <si>
    <t xml:space="preserve"> Ig &gt; 1367 W/m²</t>
  </si>
  <si>
    <t>&lt; 30 seg</t>
  </si>
  <si>
    <t>&lt; 1 min</t>
  </si>
  <si>
    <t>&lt; 2 minutos</t>
  </si>
  <si>
    <t>&lt; 3 minutos</t>
  </si>
  <si>
    <t>≥ 3 minutos</t>
  </si>
  <si>
    <t>Dia/mês</t>
  </si>
  <si>
    <t>Evento de maior magnitude [W/m²]</t>
  </si>
  <si>
    <t>Maior duração &gt;1000 e &lt;1367 [W/m²]</t>
  </si>
  <si>
    <t>Maior duração &gt;1367 [W/m²]</t>
  </si>
  <si>
    <t>Duração do maior envento</t>
  </si>
  <si>
    <t>GHI 1</t>
  </si>
  <si>
    <t>GHI 2</t>
  </si>
  <si>
    <t>GHI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</si>
</sst>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16]mmmm/yy"/>
    <numFmt numFmtId="165" formatCode="0.0000"/>
    <numFmt numFmtId="166" formatCode="[$-416]mmm/yy"/>
    <numFmt numFmtId="167" formatCode="0.0%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3" numFmtId="0" xfId="0" applyFont="1"/>
    <xf borderId="0" fillId="0" fontId="1" numFmtId="22" xfId="0" applyFont="1" applyNumberFormat="1"/>
    <xf borderId="0" fillId="0" fontId="1" numFmtId="165" xfId="0" applyFont="1" applyNumberFormat="1"/>
    <xf borderId="3" fillId="4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0" fillId="0" fontId="1" numFmtId="166" xfId="0" applyFont="1" applyNumberFormat="1"/>
    <xf borderId="0" fillId="0" fontId="1" numFmtId="167" xfId="0" applyFont="1" applyNumberFormat="1"/>
    <xf borderId="0" fillId="0" fontId="1" numFmtId="9" xfId="0" applyFont="1" applyNumberFormat="1"/>
    <xf borderId="0" fillId="0" fontId="1" numFmtId="1" xfId="0" applyFont="1" applyNumberFormat="1"/>
    <xf borderId="0" fillId="0" fontId="1" numFmtId="16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W/m²</a:t>
            </a:r>
          </a:p>
        </c:rich>
      </c:tx>
      <c:layout>
        <c:manualLayout>
          <c:xMode val="edge"/>
          <c:yMode val="edge"/>
          <c:x val="0.393090113735783"/>
          <c:y val="0.0370370370370370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Ocorrências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GHI1'!$B$26:$B$42</c:f>
            </c:strRef>
          </c:cat>
          <c:val>
            <c:numRef>
              <c:f>'ESA01 - GHI1'!$C$26:$C$42</c:f>
              <c:numCache/>
            </c:numRef>
          </c:val>
        </c:ser>
        <c:axId val="107508442"/>
        <c:axId val="328299810"/>
      </c:barChart>
      <c:catAx>
        <c:axId val="107508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328299810"/>
      </c:catAx>
      <c:valAx>
        <c:axId val="3282998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Arial Narrow"/>
                  </a:rPr>
                  <a:t>Ocorrências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0844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Comparação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1000 ≥ Ig &lt; 1300 W/m²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GHI1'!$E$26:$E$42</c:f>
            </c:strRef>
          </c:cat>
          <c:val>
            <c:numRef>
              <c:f>'ESA01 - GHI1'!$F$26:$F$42</c:f>
              <c:numCache/>
            </c:numRef>
          </c:val>
        </c:ser>
        <c:ser>
          <c:idx val="1"/>
          <c:order val="1"/>
          <c:tx>
            <c:v> Ig &gt; 1367 W/m²</c:v>
          </c:tx>
          <c:spPr>
            <a:solidFill>
              <a:srgbClr val="EE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GHI1'!$E$26:$E$42</c:f>
            </c:strRef>
          </c:cat>
          <c:val>
            <c:numRef>
              <c:f>'ESA01 - GHI1'!$G$26:$G$42</c:f>
              <c:numCache/>
            </c:numRef>
          </c:val>
        </c:ser>
        <c:overlap val="100"/>
        <c:axId val="387717566"/>
        <c:axId val="571924764"/>
      </c:barChart>
      <c:catAx>
        <c:axId val="387717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571924764"/>
      </c:catAx>
      <c:valAx>
        <c:axId val="57192476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71756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(W/m²)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GHI1'!$I$26:$I$42</c:f>
            </c:strRef>
          </c:cat>
          <c:val>
            <c:numRef>
              <c:f>'ESA01 - GHI1'!$J$26:$J$42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GHI1'!$I$26:$I$42</c:f>
            </c:strRef>
          </c:cat>
          <c:val>
            <c:numRef>
              <c:f>'ESA01 - GHI1'!$K$26:$K$42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GHI1'!$I$26:$I$42</c:f>
            </c:strRef>
          </c:cat>
          <c:val>
            <c:numRef>
              <c:f>'ESA01 - GHI1'!$L$26:$L$42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GHI1'!$I$26:$I$42</c:f>
            </c:strRef>
          </c:cat>
          <c:val>
            <c:numRef>
              <c:f>'ESA01 - GHI1'!$M$26:$M$42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GHI1'!$I$26:$I$42</c:f>
            </c:strRef>
          </c:cat>
          <c:val>
            <c:numRef>
              <c:f>'ESA01 - GHI1'!$N$26:$N$42</c:f>
              <c:numCache/>
            </c:numRef>
          </c:val>
        </c:ser>
        <c:overlap val="100"/>
        <c:axId val="602397976"/>
        <c:axId val="1035159909"/>
      </c:barChart>
      <c:catAx>
        <c:axId val="602397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035159909"/>
      </c:catAx>
      <c:valAx>
        <c:axId val="103515990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60239797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Valor médio dos eventos &lt;1367 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GHI1'!$P$26:$P$42</c:f>
            </c:strRef>
          </c:cat>
          <c:val>
            <c:numRef>
              <c:f>'ESA01 - GHI1'!$Q$26:$Q$42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GHI1'!$P$26:$P$42</c:f>
            </c:strRef>
          </c:cat>
          <c:val>
            <c:numRef>
              <c:f>'ESA01 - GHI1'!$R$26:$R$42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GHI1'!$P$26:$P$42</c:f>
            </c:strRef>
          </c:cat>
          <c:val>
            <c:numRef>
              <c:f>'ESA01 - GHI1'!$S$26:$S$42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GHI1'!$P$26:$P$42</c:f>
            </c:strRef>
          </c:cat>
          <c:val>
            <c:numRef>
              <c:f>'ESA01 - GHI1'!$T$26:$T$42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GHI1'!$P$26:$P$42</c:f>
            </c:strRef>
          </c:cat>
          <c:val>
            <c:numRef>
              <c:f>'ESA01 - GHI1'!$U$26:$U$42</c:f>
              <c:numCache/>
            </c:numRef>
          </c:val>
        </c:ser>
        <c:axId val="800126763"/>
        <c:axId val="487758478"/>
      </c:barChart>
      <c:catAx>
        <c:axId val="800126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7758478"/>
      </c:catAx>
      <c:valAx>
        <c:axId val="487758478"/>
        <c:scaling>
          <c:orientation val="minMax"/>
          <c:max val="1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8001267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Valor médio dos eventos &gt; 1367W/m²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GHI1'!$W$26:$W$42</c:f>
            </c:strRef>
          </c:cat>
          <c:val>
            <c:numRef>
              <c:f>'ESA01 - GHI1'!$X$26:$X$42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GHI1'!$W$26:$W$42</c:f>
            </c:strRef>
          </c:cat>
          <c:val>
            <c:numRef>
              <c:f>'ESA01 - GHI1'!$Y$26:$Y$42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GHI1'!$W$26:$W$42</c:f>
            </c:strRef>
          </c:cat>
          <c:val>
            <c:numRef>
              <c:f>'ESA01 - GHI1'!$Z$26:$Z$42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GHI1'!$W$26:$W$42</c:f>
            </c:strRef>
          </c:cat>
          <c:val>
            <c:numRef>
              <c:f>'ESA01 - GHI1'!$AA$26:$AA$42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GHI1'!$W$26:$W$42</c:f>
            </c:strRef>
          </c:cat>
          <c:val>
            <c:numRef>
              <c:f>'ESA01 - GHI1'!$AB$26:$AB$42</c:f>
              <c:numCache/>
            </c:numRef>
          </c:val>
        </c:ser>
        <c:axId val="135772607"/>
        <c:axId val="805131231"/>
      </c:barChart>
      <c:catAx>
        <c:axId val="13577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5131231"/>
      </c:catAx>
      <c:valAx>
        <c:axId val="805131231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77260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Evento de maior magnitude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GHI1'!$AD$26:$AD$42</c:f>
            </c:strRef>
          </c:cat>
          <c:val>
            <c:numRef>
              <c:f>'ESA01 - GHI1'!$AE$26:$AE$42</c:f>
              <c:numCache/>
            </c:numRef>
          </c:val>
        </c:ser>
        <c:axId val="87483008"/>
        <c:axId val="1557887295"/>
      </c:barChart>
      <c:catAx>
        <c:axId val="8748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7887295"/>
      </c:catAx>
      <c:valAx>
        <c:axId val="1557887295"/>
        <c:scaling>
          <c:orientation val="minMax"/>
          <c:max val="1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483008"/>
        <c:majorUnit val="100.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Eventos de maiores durações (segundos)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Maior duração &gt;1000 e &lt;1367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GHI1'!$AG$26:$AG$42</c:f>
            </c:strRef>
          </c:cat>
          <c:val>
            <c:numRef>
              <c:f>'ESA01 - GHI1'!$AH$26:$AH$42</c:f>
              <c:numCache/>
            </c:numRef>
          </c:val>
        </c:ser>
        <c:ser>
          <c:idx val="1"/>
          <c:order val="1"/>
          <c:tx>
            <c:v>Maior duração &gt;1367 [W/m²]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GHI1'!$AG$26:$AG$42</c:f>
            </c:strRef>
          </c:cat>
          <c:val>
            <c:numRef>
              <c:f>'ESA01 - GHI1'!$AI$26:$AI$42</c:f>
              <c:numCache/>
            </c:numRef>
          </c:val>
        </c:ser>
        <c:axId val="560828874"/>
        <c:axId val="338622857"/>
      </c:barChart>
      <c:catAx>
        <c:axId val="560828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8622857"/>
      </c:catAx>
      <c:valAx>
        <c:axId val="3386228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08288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Frequência dos eventos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GHI1'!$AL$26:$AL$42</c:f>
            </c:strRef>
          </c:cat>
          <c:val>
            <c:numRef>
              <c:f>'ESA01 - GHI1'!$AM$26:$AM$42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GHI1'!$AL$26:$AL$42</c:f>
            </c:strRef>
          </c:cat>
          <c:val>
            <c:numRef>
              <c:f>'ESA01 - GHI1'!$AN$26:$AN$42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GHI1'!$AL$26:$AL$42</c:f>
            </c:strRef>
          </c:cat>
          <c:val>
            <c:numRef>
              <c:f>'ESA01 - GHI1'!$AO$26:$AO$42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GHI1'!$AL$26:$AL$42</c:f>
            </c:strRef>
          </c:cat>
          <c:val>
            <c:numRef>
              <c:f>'ESA01 - GHI1'!$AP$26:$AP$42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GHI1'!$AL$26:$AL$42</c:f>
            </c:strRef>
          </c:cat>
          <c:val>
            <c:numRef>
              <c:f>'ESA01 - GHI1'!$AQ$26:$AQ$42</c:f>
              <c:numCache/>
            </c:numRef>
          </c:val>
        </c:ser>
        <c:overlap val="100"/>
        <c:axId val="394342567"/>
        <c:axId val="1144850841"/>
      </c:barChart>
      <c:catAx>
        <c:axId val="394342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4850841"/>
      </c:catAx>
      <c:valAx>
        <c:axId val="114485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434256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W/m²</a:t>
            </a:r>
          </a:p>
        </c:rich>
      </c:tx>
      <c:layout>
        <c:manualLayout>
          <c:xMode val="edge"/>
          <c:yMode val="edge"/>
          <c:x val="0.393090113735783"/>
          <c:y val="0.0370370370370370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Ocorrências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GHI2'!$B$26:$B$42</c:f>
            </c:strRef>
          </c:cat>
          <c:val>
            <c:numRef>
              <c:f>'ESA01 - GHI2'!$C$26:$C$42</c:f>
              <c:numCache/>
            </c:numRef>
          </c:val>
        </c:ser>
        <c:axId val="1988333613"/>
        <c:axId val="842754309"/>
      </c:barChart>
      <c:catAx>
        <c:axId val="1988333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842754309"/>
      </c:catAx>
      <c:valAx>
        <c:axId val="8427543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Arial Narrow"/>
                  </a:rPr>
                  <a:t>Ocorrências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33361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Comparação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1000 ≥ Ig &lt; 1300 W/m²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GHI2'!$E$26:$E$42</c:f>
            </c:strRef>
          </c:cat>
          <c:val>
            <c:numRef>
              <c:f>'ESA01 - GHI2'!$F$26:$F$42</c:f>
              <c:numCache/>
            </c:numRef>
          </c:val>
        </c:ser>
        <c:ser>
          <c:idx val="1"/>
          <c:order val="1"/>
          <c:tx>
            <c:v> Ig &gt; 1367 W/m²</c:v>
          </c:tx>
          <c:spPr>
            <a:solidFill>
              <a:srgbClr val="EE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GHI2'!$E$26:$E$42</c:f>
            </c:strRef>
          </c:cat>
          <c:val>
            <c:numRef>
              <c:f>'ESA01 - GHI2'!$G$26:$G$42</c:f>
              <c:numCache/>
            </c:numRef>
          </c:val>
        </c:ser>
        <c:overlap val="100"/>
        <c:axId val="1147952337"/>
        <c:axId val="1094259204"/>
      </c:barChart>
      <c:catAx>
        <c:axId val="1147952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094259204"/>
      </c:catAx>
      <c:valAx>
        <c:axId val="109425920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95233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(W/m²)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GHI2'!$I$26:$I$42</c:f>
            </c:strRef>
          </c:cat>
          <c:val>
            <c:numRef>
              <c:f>'ESA01 - GHI2'!$J$26:$J$42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GHI2'!$I$26:$I$42</c:f>
            </c:strRef>
          </c:cat>
          <c:val>
            <c:numRef>
              <c:f>'ESA01 - GHI2'!$K$26:$K$42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GHI2'!$I$26:$I$42</c:f>
            </c:strRef>
          </c:cat>
          <c:val>
            <c:numRef>
              <c:f>'ESA01 - GHI2'!$L$26:$L$42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GHI2'!$I$26:$I$42</c:f>
            </c:strRef>
          </c:cat>
          <c:val>
            <c:numRef>
              <c:f>'ESA01 - GHI2'!$M$26:$M$42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GHI2'!$I$26:$I$42</c:f>
            </c:strRef>
          </c:cat>
          <c:val>
            <c:numRef>
              <c:f>'ESA01 - GHI2'!$N$26:$N$42</c:f>
              <c:numCache/>
            </c:numRef>
          </c:val>
        </c:ser>
        <c:overlap val="100"/>
        <c:axId val="510603516"/>
        <c:axId val="192264411"/>
      </c:barChart>
      <c:catAx>
        <c:axId val="510603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92264411"/>
      </c:catAx>
      <c:valAx>
        <c:axId val="19226441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5106035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Valor médio dos eventos &lt;1367 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GHI2'!$P$26:$P$42</c:f>
            </c:strRef>
          </c:cat>
          <c:val>
            <c:numRef>
              <c:f>'ESA01 - GHI2'!$Q$26:$Q$42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GHI2'!$P$26:$P$42</c:f>
            </c:strRef>
          </c:cat>
          <c:val>
            <c:numRef>
              <c:f>'ESA01 - GHI2'!$R$26:$R$42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GHI2'!$P$26:$P$42</c:f>
            </c:strRef>
          </c:cat>
          <c:val>
            <c:numRef>
              <c:f>'ESA01 - GHI2'!$S$26:$S$42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GHI2'!$P$26:$P$42</c:f>
            </c:strRef>
          </c:cat>
          <c:val>
            <c:numRef>
              <c:f>'ESA01 - GHI2'!$T$26:$T$42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GHI2'!$P$26:$P$42</c:f>
            </c:strRef>
          </c:cat>
          <c:val>
            <c:numRef>
              <c:f>'ESA01 - GHI2'!$U$26:$U$42</c:f>
              <c:numCache/>
            </c:numRef>
          </c:val>
        </c:ser>
        <c:axId val="1996367212"/>
        <c:axId val="1046121434"/>
      </c:barChart>
      <c:catAx>
        <c:axId val="1996367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6121434"/>
      </c:catAx>
      <c:valAx>
        <c:axId val="1046121434"/>
        <c:scaling>
          <c:orientation val="minMax"/>
          <c:max val="1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9963672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Valor médio dos eventos &gt; 1367W/m²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GHI2'!$W$26:$W$42</c:f>
            </c:strRef>
          </c:cat>
          <c:val>
            <c:numRef>
              <c:f>'ESA01 - GHI2'!$X$26:$X$42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GHI2'!$W$26:$W$42</c:f>
            </c:strRef>
          </c:cat>
          <c:val>
            <c:numRef>
              <c:f>'ESA01 - GHI2'!$Y$26:$Y$42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GHI2'!$W$26:$W$42</c:f>
            </c:strRef>
          </c:cat>
          <c:val>
            <c:numRef>
              <c:f>'ESA01 - GHI2'!$Z$26:$Z$42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GHI2'!$W$26:$W$42</c:f>
            </c:strRef>
          </c:cat>
          <c:val>
            <c:numRef>
              <c:f>'ESA01 - GHI2'!$AA$26:$AA$42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GHI2'!$W$26:$W$42</c:f>
            </c:strRef>
          </c:cat>
          <c:val>
            <c:numRef>
              <c:f>'ESA01 - GHI2'!$AB$26:$AB$42</c:f>
              <c:numCache/>
            </c:numRef>
          </c:val>
        </c:ser>
        <c:axId val="709302589"/>
        <c:axId val="1215791127"/>
      </c:barChart>
      <c:catAx>
        <c:axId val="709302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5791127"/>
      </c:catAx>
      <c:valAx>
        <c:axId val="1215791127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93025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Evento de maior magnitude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GHI2'!$AD$26:$AD$42</c:f>
            </c:strRef>
          </c:cat>
          <c:val>
            <c:numRef>
              <c:f>'ESA01 - GHI2'!$AE$26:$AE$42</c:f>
              <c:numCache/>
            </c:numRef>
          </c:val>
        </c:ser>
        <c:axId val="1405825722"/>
        <c:axId val="612879824"/>
      </c:barChart>
      <c:catAx>
        <c:axId val="1405825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2879824"/>
      </c:catAx>
      <c:valAx>
        <c:axId val="612879824"/>
        <c:scaling>
          <c:orientation val="minMax"/>
          <c:max val="1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5825722"/>
        <c:majorUnit val="100.0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Eventos de maiores durações (segundos)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Maior duração &gt;1000 e &lt;1367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GHI2'!$AG$26:$AG$42</c:f>
            </c:strRef>
          </c:cat>
          <c:val>
            <c:numRef>
              <c:f>'ESA01 - GHI2'!$AH$26:$AH$42</c:f>
              <c:numCache/>
            </c:numRef>
          </c:val>
        </c:ser>
        <c:ser>
          <c:idx val="1"/>
          <c:order val="1"/>
          <c:tx>
            <c:v>Maior duração &gt;1367 [W/m²]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GHI2'!$AG$26:$AG$42</c:f>
            </c:strRef>
          </c:cat>
          <c:val>
            <c:numRef>
              <c:f>'ESA01 - GHI2'!$AI$26:$AI$42</c:f>
              <c:numCache/>
            </c:numRef>
          </c:val>
        </c:ser>
        <c:axId val="2053376950"/>
        <c:axId val="848821771"/>
      </c:barChart>
      <c:catAx>
        <c:axId val="2053376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8821771"/>
      </c:catAx>
      <c:valAx>
        <c:axId val="8488217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33769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Frequência dos eventos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GHI2'!$AL$26:$AL$42</c:f>
            </c:strRef>
          </c:cat>
          <c:val>
            <c:numRef>
              <c:f>'ESA01 - GHI2'!$AM$26:$AM$42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GHI2'!$AL$26:$AL$42</c:f>
            </c:strRef>
          </c:cat>
          <c:val>
            <c:numRef>
              <c:f>'ESA01 - GHI2'!$AN$26:$AN$42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GHI2'!$AL$26:$AL$42</c:f>
            </c:strRef>
          </c:cat>
          <c:val>
            <c:numRef>
              <c:f>'ESA01 - GHI2'!$AO$26:$AO$42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GHI2'!$AL$26:$AL$42</c:f>
            </c:strRef>
          </c:cat>
          <c:val>
            <c:numRef>
              <c:f>'ESA01 - GHI2'!$AP$26:$AP$42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GHI2'!$AL$26:$AL$42</c:f>
            </c:strRef>
          </c:cat>
          <c:val>
            <c:numRef>
              <c:f>'ESA01 - GHI2'!$AQ$26:$AQ$42</c:f>
              <c:numCache/>
            </c:numRef>
          </c:val>
        </c:ser>
        <c:overlap val="100"/>
        <c:axId val="1838456636"/>
        <c:axId val="2018092175"/>
      </c:barChart>
      <c:catAx>
        <c:axId val="1838456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8092175"/>
      </c:catAx>
      <c:valAx>
        <c:axId val="2018092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84566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W/m²</a:t>
            </a:r>
          </a:p>
        </c:rich>
      </c:tx>
      <c:layout>
        <c:manualLayout>
          <c:xMode val="edge"/>
          <c:yMode val="edge"/>
          <c:x val="0.393090113735783"/>
          <c:y val="0.0370370370370370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Ocorrências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GHI3'!$B$26:$B$42</c:f>
            </c:strRef>
          </c:cat>
          <c:val>
            <c:numRef>
              <c:f>'ESA01 - GHI3'!$C$26:$C$42</c:f>
              <c:numCache/>
            </c:numRef>
          </c:val>
        </c:ser>
        <c:axId val="545756229"/>
        <c:axId val="2125409183"/>
      </c:barChart>
      <c:catAx>
        <c:axId val="545756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2125409183"/>
      </c:catAx>
      <c:valAx>
        <c:axId val="2125409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Arial Narrow"/>
                  </a:rPr>
                  <a:t>Ocorrências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756229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Comparação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1000 ≥ Ig &lt; 1300 W/m²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GHI3'!$E$26:$E$42</c:f>
            </c:strRef>
          </c:cat>
          <c:val>
            <c:numRef>
              <c:f>'ESA01 - GHI3'!$F$26:$F$42</c:f>
              <c:numCache/>
            </c:numRef>
          </c:val>
        </c:ser>
        <c:ser>
          <c:idx val="1"/>
          <c:order val="1"/>
          <c:tx>
            <c:v> Ig &gt; 1367 W/m²</c:v>
          </c:tx>
          <c:spPr>
            <a:solidFill>
              <a:srgbClr val="EE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GHI3'!$E$26:$E$42</c:f>
            </c:strRef>
          </c:cat>
          <c:val>
            <c:numRef>
              <c:f>'ESA01 - GHI3'!$G$26:$G$42</c:f>
              <c:numCache/>
            </c:numRef>
          </c:val>
        </c:ser>
        <c:overlap val="100"/>
        <c:axId val="1094234505"/>
        <c:axId val="1787222854"/>
      </c:barChart>
      <c:catAx>
        <c:axId val="1094234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787222854"/>
      </c:catAx>
      <c:valAx>
        <c:axId val="178722285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23450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(W/m²)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GHI3'!$I$26:$I$42</c:f>
            </c:strRef>
          </c:cat>
          <c:val>
            <c:numRef>
              <c:f>'ESA01 - GHI3'!$J$26:$J$42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GHI3'!$I$26:$I$42</c:f>
            </c:strRef>
          </c:cat>
          <c:val>
            <c:numRef>
              <c:f>'ESA01 - GHI3'!$K$26:$K$42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GHI3'!$I$26:$I$42</c:f>
            </c:strRef>
          </c:cat>
          <c:val>
            <c:numRef>
              <c:f>'ESA01 - GHI3'!$L$26:$L$42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GHI3'!$I$26:$I$42</c:f>
            </c:strRef>
          </c:cat>
          <c:val>
            <c:numRef>
              <c:f>'ESA01 - GHI3'!$M$26:$M$42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GHI3'!$I$26:$I$42</c:f>
            </c:strRef>
          </c:cat>
          <c:val>
            <c:numRef>
              <c:f>'ESA01 - GHI3'!$N$26:$N$42</c:f>
              <c:numCache/>
            </c:numRef>
          </c:val>
        </c:ser>
        <c:overlap val="100"/>
        <c:axId val="1630810855"/>
        <c:axId val="1511698937"/>
      </c:barChart>
      <c:catAx>
        <c:axId val="1630810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511698937"/>
      </c:catAx>
      <c:valAx>
        <c:axId val="151169893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6308108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Valor médio dos eventos &lt;1367 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GHI3'!$P$26:$P$42</c:f>
            </c:strRef>
          </c:cat>
          <c:val>
            <c:numRef>
              <c:f>'ESA01 - GHI3'!$Q$26:$Q$42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GHI3'!$P$26:$P$42</c:f>
            </c:strRef>
          </c:cat>
          <c:val>
            <c:numRef>
              <c:f>'ESA01 - GHI3'!$R$26:$R$42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GHI3'!$P$26:$P$42</c:f>
            </c:strRef>
          </c:cat>
          <c:val>
            <c:numRef>
              <c:f>'ESA01 - GHI3'!$S$26:$S$42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GHI3'!$P$26:$P$42</c:f>
            </c:strRef>
          </c:cat>
          <c:val>
            <c:numRef>
              <c:f>'ESA01 - GHI3'!$T$26:$T$42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GHI3'!$P$26:$P$42</c:f>
            </c:strRef>
          </c:cat>
          <c:val>
            <c:numRef>
              <c:f>'ESA01 - GHI3'!$U$26:$U$42</c:f>
              <c:numCache/>
            </c:numRef>
          </c:val>
        </c:ser>
        <c:axId val="1265135482"/>
        <c:axId val="599313049"/>
      </c:barChart>
      <c:catAx>
        <c:axId val="1265135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313049"/>
      </c:catAx>
      <c:valAx>
        <c:axId val="599313049"/>
        <c:scaling>
          <c:orientation val="minMax"/>
          <c:max val="1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2651354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Valor médio dos eventos &gt; 1367W/m²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GHI3'!$W$26:$W$42</c:f>
            </c:strRef>
          </c:cat>
          <c:val>
            <c:numRef>
              <c:f>'ESA01 - GHI3'!$X$26:$X$42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GHI3'!$W$26:$W$42</c:f>
            </c:strRef>
          </c:cat>
          <c:val>
            <c:numRef>
              <c:f>'ESA01 - GHI3'!$Y$26:$Y$42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GHI3'!$W$26:$W$42</c:f>
            </c:strRef>
          </c:cat>
          <c:val>
            <c:numRef>
              <c:f>'ESA01 - GHI3'!$Z$26:$Z$42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GHI3'!$W$26:$W$42</c:f>
            </c:strRef>
          </c:cat>
          <c:val>
            <c:numRef>
              <c:f>'ESA01 - GHI3'!$AA$26:$AA$42</c:f>
              <c:numCache/>
            </c:numRef>
          </c:val>
        </c:ser>
        <c:ser>
          <c:idx val="4"/>
          <c:order val="4"/>
          <c:tx>
            <c:strRef>
              <c:f>'ESA01 - GHI3'!$AB$25</c:f>
            </c:strRef>
          </c:tx>
          <c:cat>
            <c:strRef>
              <c:f>'ESA01 - GHI3'!$W$26:$W$42</c:f>
            </c:strRef>
          </c:cat>
          <c:val>
            <c:numRef>
              <c:f>'ESA01 - GHI3'!$AB$26:$AB$42</c:f>
              <c:numCache/>
            </c:numRef>
          </c:val>
        </c:ser>
        <c:axId val="2102198864"/>
        <c:axId val="2134587512"/>
      </c:barChart>
      <c:catAx>
        <c:axId val="210219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4587512"/>
      </c:catAx>
      <c:valAx>
        <c:axId val="2134587512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21988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Evento de maior magnitude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GHI3'!$AD$26:$AD$42</c:f>
            </c:strRef>
          </c:cat>
          <c:val>
            <c:numRef>
              <c:f>'ESA01 - GHI3'!$AE$26:$AE$42</c:f>
              <c:numCache/>
            </c:numRef>
          </c:val>
        </c:ser>
        <c:axId val="2102131136"/>
        <c:axId val="1072114521"/>
      </c:barChart>
      <c:catAx>
        <c:axId val="210213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2114521"/>
      </c:catAx>
      <c:valAx>
        <c:axId val="1072114521"/>
        <c:scaling>
          <c:orientation val="minMax"/>
          <c:max val="1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2131136"/>
        <c:majorUnit val="100.0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Eventos de maiores durações (segundos)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Maior duração &gt;1000 e &lt;1367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GHI3'!$AG$26:$AG$42</c:f>
            </c:strRef>
          </c:cat>
          <c:val>
            <c:numRef>
              <c:f>'ESA01 - GHI3'!$AH$26:$AH$42</c:f>
              <c:numCache/>
            </c:numRef>
          </c:val>
        </c:ser>
        <c:ser>
          <c:idx val="1"/>
          <c:order val="1"/>
          <c:tx>
            <c:v>Maior duração &gt;1367 [W/m²]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'ESA01 - GHI3'!$AG$26:$AG$42</c:f>
            </c:strRef>
          </c:cat>
          <c:val>
            <c:numRef>
              <c:f>'ESA01 - GHI3'!$AI$26:$AI$42</c:f>
              <c:numCache/>
            </c:numRef>
          </c:val>
        </c:ser>
        <c:axId val="924025671"/>
        <c:axId val="1372343305"/>
      </c:barChart>
      <c:catAx>
        <c:axId val="924025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2343305"/>
      </c:catAx>
      <c:valAx>
        <c:axId val="13723433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402567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Frequência dos eventos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'ESA01 - GHI3'!$AL$26:$AL$42</c:f>
            </c:strRef>
          </c:cat>
          <c:val>
            <c:numRef>
              <c:f>'ESA01 - GHI3'!$AM$26:$AM$42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'ESA01 - GHI3'!$AL$26:$AL$42</c:f>
            </c:strRef>
          </c:cat>
          <c:val>
            <c:numRef>
              <c:f>'ESA01 - GHI3'!$AN$26:$AN$42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'ESA01 - GHI3'!$AL$26:$AL$42</c:f>
            </c:strRef>
          </c:cat>
          <c:val>
            <c:numRef>
              <c:f>'ESA01 - GHI3'!$AO$26:$AO$42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'ESA01 - GHI3'!$AL$26:$AL$42</c:f>
            </c:strRef>
          </c:cat>
          <c:val>
            <c:numRef>
              <c:f>'ESA01 - GHI3'!$AP$26:$AP$42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'ESA01 - GHI3'!$AL$26:$AL$42</c:f>
            </c:strRef>
          </c:cat>
          <c:val>
            <c:numRef>
              <c:f>'ESA01 - GHI3'!$AQ$26:$AQ$42</c:f>
              <c:numCache/>
            </c:numRef>
          </c:val>
        </c:ser>
        <c:overlap val="100"/>
        <c:axId val="1801575333"/>
        <c:axId val="1497820042"/>
      </c:barChart>
      <c:catAx>
        <c:axId val="1801575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820042"/>
      </c:catAx>
      <c:valAx>
        <c:axId val="1497820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15753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Ig ≥ 1000 W/m²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GHI 1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'Comparação'!$B$4:$B$20</c:f>
            </c:strRef>
          </c:cat>
          <c:val>
            <c:numRef>
              <c:f>'Comparação'!$C$4:$C$20</c:f>
              <c:numCache/>
            </c:numRef>
          </c:val>
        </c:ser>
        <c:ser>
          <c:idx val="1"/>
          <c:order val="1"/>
          <c:tx>
            <c:v>GHI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'Comparação'!$B$4:$B$20</c:f>
            </c:strRef>
          </c:cat>
          <c:val>
            <c:numRef>
              <c:f>'Comparação'!$D$4:$D$20</c:f>
              <c:numCache/>
            </c:numRef>
          </c:val>
        </c:ser>
        <c:ser>
          <c:idx val="2"/>
          <c:order val="2"/>
          <c:tx>
            <c:v>GHI 3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'Comparação'!$B$4:$B$20</c:f>
            </c:strRef>
          </c:cat>
          <c:val>
            <c:numRef>
              <c:f>'Comparação'!$E$4:$E$20</c:f>
              <c:numCache/>
            </c:numRef>
          </c:val>
        </c:ser>
        <c:axId val="809882810"/>
        <c:axId val="1744512124"/>
      </c:barChart>
      <c:catAx>
        <c:axId val="809882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4512124"/>
      </c:catAx>
      <c:valAx>
        <c:axId val="1744512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0988281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Evento de maior magnitude [W/m²]</a:t>
            </a:r>
          </a:p>
        </c:rich>
      </c:tx>
      <c:layout>
        <c:manualLayout>
          <c:xMode val="edge"/>
          <c:yMode val="edge"/>
          <c:x val="0.15031955380577425"/>
          <c:y val="0.0324074074074074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GHI 1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'Comparação'!$G$4:$G$20</c:f>
            </c:strRef>
          </c:cat>
          <c:val>
            <c:numRef>
              <c:f>'Comparação'!$H$4:$H$20</c:f>
              <c:numCache/>
            </c:numRef>
          </c:val>
        </c:ser>
        <c:ser>
          <c:idx val="1"/>
          <c:order val="1"/>
          <c:tx>
            <c:v>GHI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'Comparação'!$G$4:$G$20</c:f>
            </c:strRef>
          </c:cat>
          <c:val>
            <c:numRef>
              <c:f>'Comparação'!$I$4:$I$20</c:f>
              <c:numCache/>
            </c:numRef>
          </c:val>
        </c:ser>
        <c:ser>
          <c:idx val="2"/>
          <c:order val="2"/>
          <c:tx>
            <c:v>GHI 3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'Comparação'!$G$4:$G$20</c:f>
            </c:strRef>
          </c:cat>
          <c:val>
            <c:numRef>
              <c:f>'Comparação'!$J$4:$J$20</c:f>
              <c:numCache/>
            </c:numRef>
          </c:val>
        </c:ser>
        <c:axId val="1819431514"/>
        <c:axId val="334090553"/>
      </c:barChart>
      <c:catAx>
        <c:axId val="1819431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4090553"/>
      </c:catAx>
      <c:valAx>
        <c:axId val="334090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194315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Duração do maior evento (segundos)</a:t>
            </a:r>
          </a:p>
        </c:rich>
      </c:tx>
      <c:layout>
        <c:manualLayout>
          <c:xMode val="edge"/>
          <c:yMode val="edge"/>
          <c:x val="0.15031955380577425"/>
          <c:y val="0.0324074074074074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GHI 1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'Comparação'!$L$4:$L$20</c:f>
            </c:strRef>
          </c:cat>
          <c:val>
            <c:numRef>
              <c:f>'Comparação'!$M$4:$M$20</c:f>
              <c:numCache/>
            </c:numRef>
          </c:val>
        </c:ser>
        <c:ser>
          <c:idx val="1"/>
          <c:order val="1"/>
          <c:tx>
            <c:v>GHI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'Comparação'!$L$4:$L$20</c:f>
            </c:strRef>
          </c:cat>
          <c:val>
            <c:numRef>
              <c:f>'Comparação'!$N$4:$N$20</c:f>
              <c:numCache/>
            </c:numRef>
          </c:val>
        </c:ser>
        <c:ser>
          <c:idx val="2"/>
          <c:order val="2"/>
          <c:tx>
            <c:v>GHI 3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'Comparação'!$L$4:$L$20</c:f>
            </c:strRef>
          </c:cat>
          <c:val>
            <c:numRef>
              <c:f>'Comparação'!$O$4:$O$20</c:f>
              <c:numCache/>
            </c:numRef>
          </c:val>
        </c:ser>
        <c:axId val="152307610"/>
        <c:axId val="304166537"/>
      </c:barChart>
      <c:catAx>
        <c:axId val="152307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4166537"/>
      </c:catAx>
      <c:valAx>
        <c:axId val="304166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230761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ESA01 - Sousa/PB</a:t>
            </a:r>
          </a:p>
        </c:rich>
      </c:tx>
      <c:layout>
        <c:manualLayout>
          <c:xMode val="edge"/>
          <c:yMode val="edge"/>
          <c:x val="0.393090113735783"/>
          <c:y val="0.0370370370370370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Ocorrências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'Gráficos'!$B$19:$B$30</c:f>
            </c:strRef>
          </c:cat>
          <c:val>
            <c:numRef>
              <c:f>'Gráficos'!$C$19:$C$30</c:f>
              <c:numCache/>
            </c:numRef>
          </c:val>
        </c:ser>
        <c:axId val="996995258"/>
        <c:axId val="1825038050"/>
      </c:barChart>
      <c:catAx>
        <c:axId val="996995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 Narrow"/>
              </a:defRPr>
            </a:pPr>
          </a:p>
        </c:txPr>
        <c:crossAx val="1825038050"/>
      </c:catAx>
      <c:valAx>
        <c:axId val="18250380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Arial Narrow"/>
                  </a:rPr>
                  <a:t>Ocorrências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995258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ESA01 - Sousa/PB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1000 ≥ Ig &lt; 1300 W/m²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'Gráficos'!$E$19:$E$30</c:f>
            </c:strRef>
          </c:cat>
          <c:val>
            <c:numRef>
              <c:f>'Gráficos'!$F$19:$F$30</c:f>
              <c:numCache/>
            </c:numRef>
          </c:val>
        </c:ser>
        <c:ser>
          <c:idx val="1"/>
          <c:order val="1"/>
          <c:tx>
            <c:v> Ig &gt; 1367 W/m²</c:v>
          </c:tx>
          <c:spPr>
            <a:solidFill>
              <a:srgbClr val="EE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'Gráficos'!$E$19:$E$30</c:f>
            </c:strRef>
          </c:cat>
          <c:val>
            <c:numRef>
              <c:f>'Gráficos'!$G$19:$G$30</c:f>
              <c:numCache/>
            </c:numRef>
          </c:val>
        </c:ser>
        <c:overlap val="100"/>
        <c:axId val="705788088"/>
        <c:axId val="1791411974"/>
      </c:barChart>
      <c:catAx>
        <c:axId val="705788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791411974"/>
      </c:catAx>
      <c:valAx>
        <c:axId val="179141197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78808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100">
                <a:solidFill>
                  <a:srgbClr val="757575"/>
                </a:solidFill>
                <a:latin typeface="+mn-lt"/>
              </a:defRPr>
            </a:pPr>
            <a:r>
              <a:rPr b="0" i="0" sz="1100">
                <a:solidFill>
                  <a:srgbClr val="757575"/>
                </a:solidFill>
                <a:latin typeface="+mn-lt"/>
              </a:rPr>
              <a:t>ESA01 - Sousa/PB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'Gráficos'!$I$19:$I$30</c:f>
            </c:strRef>
          </c:cat>
          <c:val>
            <c:numRef>
              <c:f>'Gráficos'!$J$19:$J$30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'Gráficos'!$I$19:$I$30</c:f>
            </c:strRef>
          </c:cat>
          <c:val>
            <c:numRef>
              <c:f>'Gráficos'!$K$19:$K$30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'Gráficos'!$I$19:$I$30</c:f>
            </c:strRef>
          </c:cat>
          <c:val>
            <c:numRef>
              <c:f>'Gráficos'!$L$19:$L$30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'Gráficos'!$I$19:$I$30</c:f>
            </c:strRef>
          </c:cat>
          <c:val>
            <c:numRef>
              <c:f>'Gráficos'!$M$19:$M$30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'Gráficos'!$I$19:$I$30</c:f>
            </c:strRef>
          </c:cat>
          <c:val>
            <c:numRef>
              <c:f>'Gráficos'!$N$19:$N$30</c:f>
              <c:numCache/>
            </c:numRef>
          </c:val>
        </c:ser>
        <c:overlap val="100"/>
        <c:axId val="1906645947"/>
        <c:axId val="1797206982"/>
      </c:barChart>
      <c:catAx>
        <c:axId val="1906645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 Narrow"/>
              </a:defRPr>
            </a:pPr>
          </a:p>
        </c:txPr>
        <c:crossAx val="1797206982"/>
      </c:catAx>
      <c:valAx>
        <c:axId val="179720698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Frequência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 Narrow"/>
              </a:defRPr>
            </a:pPr>
          </a:p>
        </c:txPr>
        <c:crossAx val="190664594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ESA01 - Sousa/PB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'Gráficos'!$P$19:$P$30</c:f>
            </c:strRef>
          </c:cat>
          <c:val>
            <c:numRef>
              <c:f>'Gráficos'!$Q$19:$Q$30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'Gráficos'!$P$19:$P$30</c:f>
            </c:strRef>
          </c:cat>
          <c:val>
            <c:numRef>
              <c:f>'Gráficos'!$R$19:$R$30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'Gráficos'!$P$19:$P$30</c:f>
            </c:strRef>
          </c:cat>
          <c:val>
            <c:numRef>
              <c:f>'Gráficos'!$S$19:$S$30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'Gráficos'!$P$19:$P$30</c:f>
            </c:strRef>
          </c:cat>
          <c:val>
            <c:numRef>
              <c:f>'Gráficos'!$T$19:$T$30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'Gráficos'!$P$19:$P$30</c:f>
            </c:strRef>
          </c:cat>
          <c:val>
            <c:numRef>
              <c:f>'Gráficos'!$U$19:$U$30</c:f>
              <c:numCache/>
            </c:numRef>
          </c:val>
        </c:ser>
        <c:axId val="617143775"/>
        <c:axId val="16373262"/>
      </c:barChart>
      <c:catAx>
        <c:axId val="61714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73262"/>
      </c:catAx>
      <c:valAx>
        <c:axId val="16373262"/>
        <c:scaling>
          <c:orientation val="minMax"/>
          <c:max val="1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6171437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ESA01 - Sousa/PB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'Gráficos'!$W$19:$W$30</c:f>
            </c:strRef>
          </c:cat>
          <c:val>
            <c:numRef>
              <c:f>'Gráficos'!$X$19:$X$30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'Gráficos'!$W$19:$W$30</c:f>
            </c:strRef>
          </c:cat>
          <c:val>
            <c:numRef>
              <c:f>'Gráficos'!$Y$19:$Y$30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'Gráficos'!$W$19:$W$30</c:f>
            </c:strRef>
          </c:cat>
          <c:val>
            <c:numRef>
              <c:f>'Gráficos'!$Z$19:$Z$30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'Gráficos'!$W$19:$W$30</c:f>
            </c:strRef>
          </c:cat>
          <c:val>
            <c:numRef>
              <c:f>'Gráficos'!$AA$19:$AA$30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'Gráficos'!$W$19:$W$30</c:f>
            </c:strRef>
          </c:cat>
          <c:val>
            <c:numRef>
              <c:f>'Gráficos'!$AB$19:$AB$30</c:f>
              <c:numCache/>
            </c:numRef>
          </c:val>
        </c:ser>
        <c:axId val="1527805491"/>
        <c:axId val="718774685"/>
      </c:barChart>
      <c:catAx>
        <c:axId val="1527805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8774685"/>
      </c:catAx>
      <c:valAx>
        <c:axId val="718774685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78054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ESA01 - Sousa/PB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Evento de maior magnitude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'Gráficos'!$AD$19:$AD$30</c:f>
            </c:strRef>
          </c:cat>
          <c:val>
            <c:numRef>
              <c:f>'Gráficos'!$AE$19:$AE$30</c:f>
              <c:numCache/>
            </c:numRef>
          </c:val>
        </c:ser>
        <c:axId val="1449578374"/>
        <c:axId val="361687841"/>
      </c:barChart>
      <c:catAx>
        <c:axId val="1449578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1687841"/>
      </c:catAx>
      <c:valAx>
        <c:axId val="361687841"/>
        <c:scaling>
          <c:orientation val="minMax"/>
          <c:max val="1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578374"/>
        <c:majorUnit val="100.0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Arial Narrow"/>
              </a:defRPr>
            </a:pPr>
            <a:r>
              <a:rPr b="0" i="0" sz="1200">
                <a:solidFill>
                  <a:srgbClr val="757575"/>
                </a:solidFill>
                <a:latin typeface="Arial Narrow"/>
              </a:rPr>
              <a:t>ESA01 - Sousa/PB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Maior duração &gt;1000 e &lt;1367 [W/m²]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'Gráficos'!$AG$19:$AG$30</c:f>
            </c:strRef>
          </c:cat>
          <c:val>
            <c:numRef>
              <c:f>'Gráficos'!$AH$19:$AH$30</c:f>
              <c:numCache/>
            </c:numRef>
          </c:val>
        </c:ser>
        <c:ser>
          <c:idx val="1"/>
          <c:order val="1"/>
          <c:tx>
            <c:v>Maior duração &gt;1367 [W/m²]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'Gráficos'!$AG$19:$AG$30</c:f>
            </c:strRef>
          </c:cat>
          <c:val>
            <c:numRef>
              <c:f>'Gráficos'!$AI$19:$AI$30</c:f>
              <c:numCache/>
            </c:numRef>
          </c:val>
        </c:ser>
        <c:axId val="1789204067"/>
        <c:axId val="1309594767"/>
      </c:barChart>
      <c:catAx>
        <c:axId val="178920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309594767"/>
      </c:catAx>
      <c:valAx>
        <c:axId val="1309594767"/>
        <c:scaling>
          <c:orientation val="minMax"/>
          <c:max val="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920406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ESA01 - Sousa/PB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&lt; 30 seg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'Gráficos'!$AL$19:$AL$30</c:f>
            </c:strRef>
          </c:cat>
          <c:val>
            <c:numRef>
              <c:f>'Gráficos'!$AM$19:$AM$30</c:f>
              <c:numCache/>
            </c:numRef>
          </c:val>
        </c:ser>
        <c:ser>
          <c:idx val="1"/>
          <c:order val="1"/>
          <c:tx>
            <c:v>&lt; 1 min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'Gráficos'!$AL$19:$AL$30</c:f>
            </c:strRef>
          </c:cat>
          <c:val>
            <c:numRef>
              <c:f>'Gráficos'!$AN$19:$AN$30</c:f>
              <c:numCache/>
            </c:numRef>
          </c:val>
        </c:ser>
        <c:ser>
          <c:idx val="2"/>
          <c:order val="2"/>
          <c:tx>
            <c:v>&lt; 2 minutos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'Gráficos'!$AL$19:$AL$30</c:f>
            </c:strRef>
          </c:cat>
          <c:val>
            <c:numRef>
              <c:f>'Gráficos'!$AO$19:$AO$30</c:f>
              <c:numCache/>
            </c:numRef>
          </c:val>
        </c:ser>
        <c:ser>
          <c:idx val="3"/>
          <c:order val="3"/>
          <c:tx>
            <c:v>&lt; 3 minutos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'Gráficos'!$AL$19:$AL$30</c:f>
            </c:strRef>
          </c:cat>
          <c:val>
            <c:numRef>
              <c:f>'Gráficos'!$AP$19:$AP$30</c:f>
              <c:numCache/>
            </c:numRef>
          </c:val>
        </c:ser>
        <c:ser>
          <c:idx val="4"/>
          <c:order val="4"/>
          <c:tx>
            <c:v>≥ 3 minutos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cat>
            <c:strRef>
              <c:f>'Gráficos'!$AL$19:$AL$30</c:f>
            </c:strRef>
          </c:cat>
          <c:val>
            <c:numRef>
              <c:f>'Gráficos'!$AQ$19:$AQ$30</c:f>
              <c:numCache/>
            </c:numRef>
          </c:val>
        </c:ser>
        <c:overlap val="100"/>
        <c:axId val="1766551611"/>
        <c:axId val="2140262326"/>
      </c:barChart>
      <c:catAx>
        <c:axId val="1766551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0262326"/>
      </c:catAx>
      <c:valAx>
        <c:axId val="2140262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65516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45</xdr:row>
      <xdr:rowOff>142875</xdr:rowOff>
    </xdr:from>
    <xdr:ext cx="4448175" cy="2733675"/>
    <xdr:graphicFrame>
      <xdr:nvGraphicFramePr>
        <xdr:cNvPr id="14007575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60</xdr:row>
      <xdr:rowOff>133350</xdr:rowOff>
    </xdr:from>
    <xdr:ext cx="6953250" cy="4429125"/>
    <xdr:graphicFrame>
      <xdr:nvGraphicFramePr>
        <xdr:cNvPr id="107021306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933450</xdr:colOff>
      <xdr:row>45</xdr:row>
      <xdr:rowOff>123825</xdr:rowOff>
    </xdr:from>
    <xdr:ext cx="5067300" cy="2600325"/>
    <xdr:graphicFrame>
      <xdr:nvGraphicFramePr>
        <xdr:cNvPr id="140057212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409575</xdr:colOff>
      <xdr:row>45</xdr:row>
      <xdr:rowOff>123825</xdr:rowOff>
    </xdr:from>
    <xdr:ext cx="4562475" cy="2600325"/>
    <xdr:graphicFrame>
      <xdr:nvGraphicFramePr>
        <xdr:cNvPr id="193836063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333375</xdr:colOff>
      <xdr:row>45</xdr:row>
      <xdr:rowOff>152400</xdr:rowOff>
    </xdr:from>
    <xdr:ext cx="4772025" cy="2600325"/>
    <xdr:graphicFrame>
      <xdr:nvGraphicFramePr>
        <xdr:cNvPr id="76632070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400050</xdr:colOff>
      <xdr:row>45</xdr:row>
      <xdr:rowOff>152400</xdr:rowOff>
    </xdr:from>
    <xdr:ext cx="4572000" cy="2600325"/>
    <xdr:graphicFrame>
      <xdr:nvGraphicFramePr>
        <xdr:cNvPr id="63733902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35</xdr:col>
      <xdr:colOff>66675</xdr:colOff>
      <xdr:row>45</xdr:row>
      <xdr:rowOff>161925</xdr:rowOff>
    </xdr:from>
    <xdr:ext cx="4572000" cy="2600325"/>
    <xdr:graphicFrame>
      <xdr:nvGraphicFramePr>
        <xdr:cNvPr id="37443713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40</xdr:col>
      <xdr:colOff>762000</xdr:colOff>
      <xdr:row>45</xdr:row>
      <xdr:rowOff>152400</xdr:rowOff>
    </xdr:from>
    <xdr:ext cx="4772025" cy="2600325"/>
    <xdr:graphicFrame>
      <xdr:nvGraphicFramePr>
        <xdr:cNvPr id="54564216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45</xdr:row>
      <xdr:rowOff>142875</xdr:rowOff>
    </xdr:from>
    <xdr:ext cx="4457700" cy="2733675"/>
    <xdr:graphicFrame>
      <xdr:nvGraphicFramePr>
        <xdr:cNvPr id="4374067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45</xdr:row>
      <xdr:rowOff>152400</xdr:rowOff>
    </xdr:from>
    <xdr:ext cx="4010025" cy="2733675"/>
    <xdr:graphicFrame>
      <xdr:nvGraphicFramePr>
        <xdr:cNvPr id="105695484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933450</xdr:colOff>
      <xdr:row>45</xdr:row>
      <xdr:rowOff>123825</xdr:rowOff>
    </xdr:from>
    <xdr:ext cx="5067300" cy="2600325"/>
    <xdr:graphicFrame>
      <xdr:nvGraphicFramePr>
        <xdr:cNvPr id="134824398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409575</xdr:colOff>
      <xdr:row>45</xdr:row>
      <xdr:rowOff>123825</xdr:rowOff>
    </xdr:from>
    <xdr:ext cx="4562475" cy="2600325"/>
    <xdr:graphicFrame>
      <xdr:nvGraphicFramePr>
        <xdr:cNvPr id="33363630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333375</xdr:colOff>
      <xdr:row>45</xdr:row>
      <xdr:rowOff>152400</xdr:rowOff>
    </xdr:from>
    <xdr:ext cx="4772025" cy="2600325"/>
    <xdr:graphicFrame>
      <xdr:nvGraphicFramePr>
        <xdr:cNvPr id="10592550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400050</xdr:colOff>
      <xdr:row>45</xdr:row>
      <xdr:rowOff>152400</xdr:rowOff>
    </xdr:from>
    <xdr:ext cx="4572000" cy="2600325"/>
    <xdr:graphicFrame>
      <xdr:nvGraphicFramePr>
        <xdr:cNvPr id="56003645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35</xdr:col>
      <xdr:colOff>66675</xdr:colOff>
      <xdr:row>45</xdr:row>
      <xdr:rowOff>161925</xdr:rowOff>
    </xdr:from>
    <xdr:ext cx="4572000" cy="2600325"/>
    <xdr:graphicFrame>
      <xdr:nvGraphicFramePr>
        <xdr:cNvPr id="80143202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40</xdr:col>
      <xdr:colOff>762000</xdr:colOff>
      <xdr:row>45</xdr:row>
      <xdr:rowOff>152400</xdr:rowOff>
    </xdr:from>
    <xdr:ext cx="4772025" cy="2600325"/>
    <xdr:graphicFrame>
      <xdr:nvGraphicFramePr>
        <xdr:cNvPr id="147205538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45</xdr:row>
      <xdr:rowOff>142875</xdr:rowOff>
    </xdr:from>
    <xdr:ext cx="4457700" cy="2733675"/>
    <xdr:graphicFrame>
      <xdr:nvGraphicFramePr>
        <xdr:cNvPr id="16954453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45</xdr:row>
      <xdr:rowOff>28575</xdr:rowOff>
    </xdr:from>
    <xdr:ext cx="4191000" cy="2857500"/>
    <xdr:graphicFrame>
      <xdr:nvGraphicFramePr>
        <xdr:cNvPr id="1155725961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933450</xdr:colOff>
      <xdr:row>45</xdr:row>
      <xdr:rowOff>123825</xdr:rowOff>
    </xdr:from>
    <xdr:ext cx="5067300" cy="2600325"/>
    <xdr:graphicFrame>
      <xdr:nvGraphicFramePr>
        <xdr:cNvPr id="1618869505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409575</xdr:colOff>
      <xdr:row>45</xdr:row>
      <xdr:rowOff>123825</xdr:rowOff>
    </xdr:from>
    <xdr:ext cx="4562475" cy="2600325"/>
    <xdr:graphicFrame>
      <xdr:nvGraphicFramePr>
        <xdr:cNvPr id="48900811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333375</xdr:colOff>
      <xdr:row>45</xdr:row>
      <xdr:rowOff>152400</xdr:rowOff>
    </xdr:from>
    <xdr:ext cx="4772025" cy="2600325"/>
    <xdr:graphicFrame>
      <xdr:nvGraphicFramePr>
        <xdr:cNvPr id="153340758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400050</xdr:colOff>
      <xdr:row>45</xdr:row>
      <xdr:rowOff>152400</xdr:rowOff>
    </xdr:from>
    <xdr:ext cx="4572000" cy="2600325"/>
    <xdr:graphicFrame>
      <xdr:nvGraphicFramePr>
        <xdr:cNvPr id="1182490026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35</xdr:col>
      <xdr:colOff>66675</xdr:colOff>
      <xdr:row>45</xdr:row>
      <xdr:rowOff>161925</xdr:rowOff>
    </xdr:from>
    <xdr:ext cx="4572000" cy="2600325"/>
    <xdr:graphicFrame>
      <xdr:nvGraphicFramePr>
        <xdr:cNvPr id="24685939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40</xdr:col>
      <xdr:colOff>762000</xdr:colOff>
      <xdr:row>45</xdr:row>
      <xdr:rowOff>152400</xdr:rowOff>
    </xdr:from>
    <xdr:ext cx="4772025" cy="2600325"/>
    <xdr:graphicFrame>
      <xdr:nvGraphicFramePr>
        <xdr:cNvPr id="144498737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30</xdr:row>
      <xdr:rowOff>9525</xdr:rowOff>
    </xdr:from>
    <xdr:ext cx="4343400" cy="2609850"/>
    <xdr:graphicFrame>
      <xdr:nvGraphicFramePr>
        <xdr:cNvPr id="1490663158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495300</xdr:colOff>
      <xdr:row>30</xdr:row>
      <xdr:rowOff>9525</xdr:rowOff>
    </xdr:from>
    <xdr:ext cx="4343400" cy="2609850"/>
    <xdr:graphicFrame>
      <xdr:nvGraphicFramePr>
        <xdr:cNvPr id="14454742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38100</xdr:colOff>
      <xdr:row>30</xdr:row>
      <xdr:rowOff>171450</xdr:rowOff>
    </xdr:from>
    <xdr:ext cx="4371975" cy="2609850"/>
    <xdr:graphicFrame>
      <xdr:nvGraphicFramePr>
        <xdr:cNvPr id="258262725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32</xdr:row>
      <xdr:rowOff>142875</xdr:rowOff>
    </xdr:from>
    <xdr:ext cx="4457700" cy="2733675"/>
    <xdr:graphicFrame>
      <xdr:nvGraphicFramePr>
        <xdr:cNvPr id="6634132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32</xdr:row>
      <xdr:rowOff>152400</xdr:rowOff>
    </xdr:from>
    <xdr:ext cx="4010025" cy="2733675"/>
    <xdr:graphicFrame>
      <xdr:nvGraphicFramePr>
        <xdr:cNvPr id="1936108012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933450</xdr:colOff>
      <xdr:row>32</xdr:row>
      <xdr:rowOff>123825</xdr:rowOff>
    </xdr:from>
    <xdr:ext cx="5067300" cy="2600325"/>
    <xdr:graphicFrame>
      <xdr:nvGraphicFramePr>
        <xdr:cNvPr id="1413482247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409575</xdr:colOff>
      <xdr:row>32</xdr:row>
      <xdr:rowOff>123825</xdr:rowOff>
    </xdr:from>
    <xdr:ext cx="4562475" cy="2600325"/>
    <xdr:graphicFrame>
      <xdr:nvGraphicFramePr>
        <xdr:cNvPr id="405253846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333375</xdr:colOff>
      <xdr:row>32</xdr:row>
      <xdr:rowOff>152400</xdr:rowOff>
    </xdr:from>
    <xdr:ext cx="4772025" cy="2600325"/>
    <xdr:graphicFrame>
      <xdr:nvGraphicFramePr>
        <xdr:cNvPr id="751474691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400050</xdr:colOff>
      <xdr:row>32</xdr:row>
      <xdr:rowOff>152400</xdr:rowOff>
    </xdr:from>
    <xdr:ext cx="4572000" cy="2600325"/>
    <xdr:graphicFrame>
      <xdr:nvGraphicFramePr>
        <xdr:cNvPr id="1420131138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35</xdr:col>
      <xdr:colOff>66675</xdr:colOff>
      <xdr:row>32</xdr:row>
      <xdr:rowOff>161925</xdr:rowOff>
    </xdr:from>
    <xdr:ext cx="4572000" cy="2600325"/>
    <xdr:graphicFrame>
      <xdr:nvGraphicFramePr>
        <xdr:cNvPr id="1167846709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40</xdr:col>
      <xdr:colOff>762000</xdr:colOff>
      <xdr:row>32</xdr:row>
      <xdr:rowOff>152400</xdr:rowOff>
    </xdr:from>
    <xdr:ext cx="4772025" cy="2600325"/>
    <xdr:graphicFrame>
      <xdr:nvGraphicFramePr>
        <xdr:cNvPr id="2053243747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5" width="10.71"/>
    <col customWidth="1" min="6" max="42" width="12.71"/>
    <col customWidth="1" min="43" max="43" width="15.71"/>
    <col customWidth="1" min="44" max="50" width="12.71"/>
    <col customWidth="1" min="51" max="64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14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N2" s="4" t="s">
        <v>12</v>
      </c>
      <c r="O2" s="3" t="s">
        <v>13</v>
      </c>
      <c r="P2" s="3" t="s">
        <v>14</v>
      </c>
      <c r="Q2" s="3" t="s">
        <v>15</v>
      </c>
      <c r="R2" s="4" t="s">
        <v>16</v>
      </c>
      <c r="S2" s="4" t="s">
        <v>17</v>
      </c>
      <c r="T2" s="4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  <c r="AA2" s="3" t="s">
        <v>25</v>
      </c>
      <c r="AB2" s="3" t="s">
        <v>26</v>
      </c>
      <c r="AC2" s="3" t="s">
        <v>27</v>
      </c>
      <c r="AD2" s="4" t="s">
        <v>28</v>
      </c>
      <c r="AE2" s="4" t="s">
        <v>29</v>
      </c>
      <c r="AF2" s="4" t="s">
        <v>30</v>
      </c>
      <c r="AG2" s="3" t="s">
        <v>31</v>
      </c>
      <c r="AH2" s="3" t="s">
        <v>32</v>
      </c>
      <c r="AI2" s="3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3" t="s">
        <v>39</v>
      </c>
      <c r="AP2" s="3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3" t="s">
        <v>45</v>
      </c>
      <c r="AV2" s="3" t="s">
        <v>46</v>
      </c>
      <c r="AW2" s="3" t="s">
        <v>43</v>
      </c>
      <c r="AX2" s="3" t="s">
        <v>44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ht="14.25" customHeight="1">
      <c r="B3" s="5">
        <v>44501.0</v>
      </c>
      <c r="C3" s="6">
        <v>46.0</v>
      </c>
      <c r="D3" s="6">
        <v>2.0</v>
      </c>
      <c r="E3" s="6">
        <v>48.0</v>
      </c>
      <c r="F3" s="6">
        <v>42.0</v>
      </c>
      <c r="G3" s="7">
        <v>1162.9780181428387</v>
      </c>
      <c r="H3" s="7">
        <v>1366.0</v>
      </c>
      <c r="I3" s="6">
        <v>4.0</v>
      </c>
      <c r="J3" s="7">
        <v>1127.6971428571428</v>
      </c>
      <c r="K3" s="7">
        <v>1195.0</v>
      </c>
      <c r="L3" s="6"/>
      <c r="M3" s="7"/>
      <c r="N3" s="7"/>
      <c r="O3" s="6"/>
      <c r="P3" s="7"/>
      <c r="Q3" s="7"/>
      <c r="R3" s="6"/>
      <c r="S3" s="7"/>
      <c r="T3" s="7"/>
      <c r="U3" s="8">
        <v>2.0</v>
      </c>
      <c r="V3" s="7">
        <v>1372.0416666666665</v>
      </c>
      <c r="W3" s="8">
        <v>1378.0</v>
      </c>
      <c r="Y3" s="7"/>
      <c r="AJ3" s="8">
        <v>44.0</v>
      </c>
      <c r="AK3" s="8">
        <v>4.0</v>
      </c>
      <c r="AO3" s="9">
        <v>44515.474386574075</v>
      </c>
      <c r="AP3" s="8">
        <v>1378.0</v>
      </c>
      <c r="AQ3" s="9">
        <v>44516.390173611115</v>
      </c>
      <c r="AR3" s="8">
        <v>60.0</v>
      </c>
      <c r="AS3" s="7">
        <v>1174.6166666666666</v>
      </c>
      <c r="AT3" s="8">
        <v>1195.0</v>
      </c>
      <c r="AU3" s="9">
        <v>44515.474444444444</v>
      </c>
      <c r="AV3" s="8">
        <v>9.0</v>
      </c>
      <c r="AW3" s="10">
        <v>1374.3333333333333</v>
      </c>
      <c r="AX3" s="8">
        <v>1378.0</v>
      </c>
    </row>
    <row r="4" ht="14.25" customHeight="1">
      <c r="B4" s="5">
        <v>44531.0</v>
      </c>
      <c r="C4" s="6">
        <v>202.0</v>
      </c>
      <c r="D4" s="6">
        <v>61.0</v>
      </c>
      <c r="E4" s="6">
        <v>263.0</v>
      </c>
      <c r="F4" s="6">
        <v>179.0</v>
      </c>
      <c r="G4" s="7">
        <v>1273.589171769717</v>
      </c>
      <c r="H4" s="7">
        <v>1366.0</v>
      </c>
      <c r="I4" s="6">
        <v>15.0</v>
      </c>
      <c r="J4" s="7">
        <v>1247.536822257403</v>
      </c>
      <c r="K4" s="7">
        <v>1366.0</v>
      </c>
      <c r="L4" s="6">
        <v>5.0</v>
      </c>
      <c r="M4" s="7">
        <v>1274.1532132083603</v>
      </c>
      <c r="N4" s="7">
        <v>1341.0</v>
      </c>
      <c r="O4" s="6">
        <v>3.0</v>
      </c>
      <c r="P4" s="7">
        <v>1338.5639293681074</v>
      </c>
      <c r="Q4" s="7">
        <v>1365.0</v>
      </c>
      <c r="R4" s="6"/>
      <c r="S4" s="7"/>
      <c r="T4" s="7"/>
      <c r="U4" s="8">
        <v>56.0</v>
      </c>
      <c r="V4" s="7">
        <v>1403.063598251423</v>
      </c>
      <c r="W4" s="8">
        <v>1620.0</v>
      </c>
      <c r="X4" s="8">
        <v>4.0</v>
      </c>
      <c r="Y4" s="7">
        <v>1387.1565</v>
      </c>
      <c r="Z4" s="8">
        <v>1453.0</v>
      </c>
      <c r="AG4" s="8">
        <v>1.0</v>
      </c>
      <c r="AH4" s="8">
        <v>1376.6494845360826</v>
      </c>
      <c r="AI4" s="8">
        <v>1386.0</v>
      </c>
      <c r="AJ4" s="8">
        <v>235.0</v>
      </c>
      <c r="AK4" s="8">
        <v>19.0</v>
      </c>
      <c r="AL4" s="8">
        <v>5.0</v>
      </c>
      <c r="AM4" s="8">
        <v>3.0</v>
      </c>
      <c r="AN4" s="8">
        <v>1.0</v>
      </c>
      <c r="AO4" s="9">
        <v>44544.45415509259</v>
      </c>
      <c r="AP4" s="8">
        <v>1620.0</v>
      </c>
      <c r="AQ4" s="9">
        <v>44561.522731481484</v>
      </c>
      <c r="AR4" s="8">
        <v>177.0</v>
      </c>
      <c r="AS4" s="7">
        <v>1345.2090395480227</v>
      </c>
      <c r="AT4" s="8">
        <v>1365.0</v>
      </c>
      <c r="AU4" s="9">
        <v>44561.51975694444</v>
      </c>
      <c r="AV4" s="8">
        <v>194.0</v>
      </c>
      <c r="AW4" s="10">
        <v>1376.6494845360826</v>
      </c>
      <c r="AX4" s="8">
        <v>1386.0</v>
      </c>
    </row>
    <row r="5" ht="14.25" customHeight="1">
      <c r="B5" s="5">
        <v>44562.0</v>
      </c>
      <c r="C5" s="6">
        <v>173.0</v>
      </c>
      <c r="D5" s="6">
        <v>114.0</v>
      </c>
      <c r="E5" s="6">
        <v>287.0</v>
      </c>
      <c r="F5" s="6">
        <v>159.0</v>
      </c>
      <c r="G5" s="7">
        <v>1279.9882741111353</v>
      </c>
      <c r="H5" s="7">
        <v>1366.0</v>
      </c>
      <c r="I5" s="6">
        <v>7.0</v>
      </c>
      <c r="J5" s="7">
        <v>1209.3761309706147</v>
      </c>
      <c r="K5" s="7">
        <v>1364.0</v>
      </c>
      <c r="L5" s="6">
        <v>6.0</v>
      </c>
      <c r="M5" s="7">
        <v>1183.9667475991075</v>
      </c>
      <c r="N5" s="7">
        <v>1343.0</v>
      </c>
      <c r="O5" s="6">
        <v>1.0</v>
      </c>
      <c r="P5" s="7">
        <v>1315.328125</v>
      </c>
      <c r="Q5" s="7">
        <v>1340.0</v>
      </c>
      <c r="R5" s="6"/>
      <c r="S5" s="7"/>
      <c r="T5" s="7"/>
      <c r="U5" s="8">
        <v>90.0</v>
      </c>
      <c r="V5" s="7">
        <v>1398.3630535276993</v>
      </c>
      <c r="W5" s="8">
        <v>1602.0</v>
      </c>
      <c r="X5" s="8">
        <v>17.0</v>
      </c>
      <c r="Y5" s="7">
        <v>1415.445995887986</v>
      </c>
      <c r="Z5" s="8">
        <v>1607.0</v>
      </c>
      <c r="AA5" s="8">
        <v>4.0</v>
      </c>
      <c r="AB5" s="8">
        <v>1459.4584908295392</v>
      </c>
      <c r="AC5" s="8">
        <v>1567.0</v>
      </c>
      <c r="AD5" s="8">
        <v>3.0</v>
      </c>
      <c r="AE5" s="8">
        <v>1405.7059749316747</v>
      </c>
      <c r="AF5" s="8">
        <v>1468.0</v>
      </c>
      <c r="AJ5" s="8">
        <v>249.0</v>
      </c>
      <c r="AK5" s="8">
        <v>24.0</v>
      </c>
      <c r="AL5" s="8">
        <v>10.0</v>
      </c>
      <c r="AM5" s="8">
        <v>4.0</v>
      </c>
      <c r="AO5" s="9">
        <v>44576.487974537034</v>
      </c>
      <c r="AP5" s="8">
        <v>1607.0</v>
      </c>
      <c r="AQ5" s="9">
        <v>44567.535</v>
      </c>
      <c r="AR5" s="8">
        <v>128.0</v>
      </c>
      <c r="AS5" s="7">
        <v>1315.328125</v>
      </c>
      <c r="AT5" s="8">
        <v>1340.0</v>
      </c>
      <c r="AU5" s="9">
        <v>44562.50340277778</v>
      </c>
      <c r="AV5" s="8">
        <v>162.0</v>
      </c>
      <c r="AW5" s="10">
        <v>1438.9444444444443</v>
      </c>
      <c r="AX5" s="8">
        <v>1468.0</v>
      </c>
    </row>
    <row r="6" ht="14.25" customHeight="1">
      <c r="B6" s="5">
        <v>44593.0</v>
      </c>
      <c r="C6" s="6">
        <v>91.0</v>
      </c>
      <c r="D6" s="6">
        <v>75.0</v>
      </c>
      <c r="E6" s="6">
        <v>166.0</v>
      </c>
      <c r="F6" s="6">
        <v>78.0</v>
      </c>
      <c r="G6" s="7">
        <v>1248.6186567295774</v>
      </c>
      <c r="H6" s="7">
        <v>1366.0</v>
      </c>
      <c r="I6" s="6">
        <v>7.0</v>
      </c>
      <c r="J6" s="7">
        <v>1081.5291982861859</v>
      </c>
      <c r="K6" s="7">
        <v>1366.0</v>
      </c>
      <c r="L6" s="6">
        <v>4.0</v>
      </c>
      <c r="M6" s="7">
        <v>1195.2144705238418</v>
      </c>
      <c r="N6" s="7">
        <v>1366.0</v>
      </c>
      <c r="O6" s="6">
        <v>2.0</v>
      </c>
      <c r="P6" s="7">
        <v>1133.9466278913394</v>
      </c>
      <c r="Q6" s="7">
        <v>1253.0</v>
      </c>
      <c r="R6" s="6"/>
      <c r="S6" s="7"/>
      <c r="T6" s="7"/>
      <c r="U6" s="8">
        <v>61.0</v>
      </c>
      <c r="V6" s="7">
        <v>1417.8606732716037</v>
      </c>
      <c r="W6" s="8">
        <v>1593.0</v>
      </c>
      <c r="X6" s="8">
        <v>6.0</v>
      </c>
      <c r="Y6" s="7">
        <v>1407.3703184841766</v>
      </c>
      <c r="Z6" s="8">
        <v>1463.0</v>
      </c>
      <c r="AA6" s="8">
        <v>4.0</v>
      </c>
      <c r="AB6" s="8">
        <v>1404.6306639141692</v>
      </c>
      <c r="AC6" s="8">
        <v>1448.0</v>
      </c>
      <c r="AD6" s="8">
        <v>4.0</v>
      </c>
      <c r="AE6" s="8">
        <v>1408.0019956452415</v>
      </c>
      <c r="AF6" s="8">
        <v>1509.0</v>
      </c>
      <c r="AJ6" s="8">
        <v>139.0</v>
      </c>
      <c r="AK6" s="8">
        <v>13.0</v>
      </c>
      <c r="AL6" s="8">
        <v>8.0</v>
      </c>
      <c r="AM6" s="8">
        <v>6.0</v>
      </c>
      <c r="AO6" s="9">
        <v>44598.49759259259</v>
      </c>
      <c r="AP6" s="8">
        <v>1593.0</v>
      </c>
      <c r="AQ6" s="9">
        <v>44604.56018518518</v>
      </c>
      <c r="AR6" s="8">
        <v>176.0</v>
      </c>
      <c r="AS6" s="7">
        <v>1244.0056818181818</v>
      </c>
      <c r="AT6" s="8">
        <v>1253.0</v>
      </c>
      <c r="AU6" s="9">
        <v>44614.520104166666</v>
      </c>
      <c r="AV6" s="8">
        <v>146.0</v>
      </c>
      <c r="AW6" s="10">
        <v>1389.9041095890411</v>
      </c>
      <c r="AX6" s="8">
        <v>1416.0</v>
      </c>
    </row>
    <row r="7" ht="14.25" customHeight="1">
      <c r="B7" s="5">
        <v>44621.0</v>
      </c>
      <c r="C7" s="6">
        <v>298.0</v>
      </c>
      <c r="D7" s="6">
        <v>168.0</v>
      </c>
      <c r="E7" s="6">
        <v>466.0</v>
      </c>
      <c r="F7" s="6">
        <v>274.0</v>
      </c>
      <c r="G7" s="7">
        <v>1269.3214965122447</v>
      </c>
      <c r="H7" s="7">
        <v>1366.0</v>
      </c>
      <c r="I7" s="6">
        <v>16.0</v>
      </c>
      <c r="J7" s="7">
        <v>1206.3050195822198</v>
      </c>
      <c r="K7" s="7">
        <v>1366.0</v>
      </c>
      <c r="L7" s="6">
        <v>5.0</v>
      </c>
      <c r="M7" s="7">
        <v>1245.2075854691268</v>
      </c>
      <c r="N7" s="7">
        <v>1327.0</v>
      </c>
      <c r="O7" s="6">
        <v>2.0</v>
      </c>
      <c r="P7" s="7">
        <v>1234.4914089347078</v>
      </c>
      <c r="Q7" s="7">
        <v>1337.0</v>
      </c>
      <c r="R7" s="6">
        <v>1.0</v>
      </c>
      <c r="S7" s="7">
        <v>1119.030888030888</v>
      </c>
      <c r="T7" s="7">
        <v>1153.0</v>
      </c>
      <c r="U7" s="8">
        <v>151.0</v>
      </c>
      <c r="V7" s="7">
        <v>1401.1144268039707</v>
      </c>
      <c r="W7" s="8">
        <v>1562.0</v>
      </c>
      <c r="X7" s="8">
        <v>9.0</v>
      </c>
      <c r="Y7" s="7">
        <v>1423.6835716450282</v>
      </c>
      <c r="Z7" s="8">
        <v>1569.0</v>
      </c>
      <c r="AA7" s="8">
        <v>8.0</v>
      </c>
      <c r="AB7" s="8">
        <v>1421.0194950765758</v>
      </c>
      <c r="AC7" s="8">
        <v>1544.0</v>
      </c>
      <c r="AJ7" s="8">
        <v>425.0</v>
      </c>
      <c r="AK7" s="8">
        <v>25.0</v>
      </c>
      <c r="AL7" s="8">
        <v>13.0</v>
      </c>
      <c r="AM7" s="8">
        <v>2.0</v>
      </c>
      <c r="AN7" s="8">
        <v>1.0</v>
      </c>
      <c r="AO7" s="9">
        <v>44645.455</v>
      </c>
      <c r="AP7" s="8">
        <v>1569.0</v>
      </c>
      <c r="AQ7" s="9">
        <v>44633.58991898148</v>
      </c>
      <c r="AR7" s="8">
        <v>259.0</v>
      </c>
      <c r="AS7" s="7">
        <v>1119.030888030888</v>
      </c>
      <c r="AT7" s="8">
        <v>1153.0</v>
      </c>
      <c r="AU7" s="9">
        <v>44633.50278935185</v>
      </c>
      <c r="AV7" s="8">
        <v>96.0</v>
      </c>
      <c r="AW7" s="10">
        <v>1458.4166666666667</v>
      </c>
      <c r="AX7" s="8">
        <v>1544.0</v>
      </c>
    </row>
    <row r="8" ht="14.25" customHeight="1">
      <c r="B8" s="5">
        <v>44652.0</v>
      </c>
      <c r="C8" s="6">
        <v>517.0</v>
      </c>
      <c r="D8" s="6">
        <v>94.0</v>
      </c>
      <c r="E8" s="6">
        <v>611.0</v>
      </c>
      <c r="F8" s="6">
        <v>476.0</v>
      </c>
      <c r="G8" s="7">
        <v>1220.1933787639648</v>
      </c>
      <c r="H8" s="7">
        <v>1366.0</v>
      </c>
      <c r="I8" s="6">
        <v>33.0</v>
      </c>
      <c r="J8" s="7">
        <v>1253.5788473904054</v>
      </c>
      <c r="K8" s="7">
        <v>1366.0</v>
      </c>
      <c r="L8" s="6">
        <v>7.0</v>
      </c>
      <c r="M8" s="7">
        <v>1263.4933354461932</v>
      </c>
      <c r="N8" s="7">
        <v>1355.0</v>
      </c>
      <c r="O8" s="6"/>
      <c r="P8" s="7"/>
      <c r="Q8" s="7"/>
      <c r="R8" s="6">
        <v>1.0</v>
      </c>
      <c r="S8" s="7">
        <v>1153.0521472392638</v>
      </c>
      <c r="T8" s="7">
        <v>1177.0</v>
      </c>
      <c r="U8" s="8">
        <v>83.0</v>
      </c>
      <c r="V8" s="7">
        <v>1399.375723813232</v>
      </c>
      <c r="W8" s="8">
        <v>1509.0</v>
      </c>
      <c r="X8" s="8">
        <v>9.0</v>
      </c>
      <c r="Y8" s="7">
        <v>1430.6601625329388</v>
      </c>
      <c r="Z8" s="8">
        <v>1512.0</v>
      </c>
      <c r="AD8" s="8">
        <v>1.0</v>
      </c>
      <c r="AE8" s="8">
        <v>1464.2910447761194</v>
      </c>
      <c r="AF8" s="8">
        <v>1493.0</v>
      </c>
      <c r="AG8" s="8">
        <v>1.0</v>
      </c>
      <c r="AH8" s="8">
        <v>1443.360153256705</v>
      </c>
      <c r="AI8" s="8">
        <v>1504.0</v>
      </c>
      <c r="AJ8" s="8">
        <v>559.0</v>
      </c>
      <c r="AK8" s="8">
        <v>42.0</v>
      </c>
      <c r="AL8" s="8">
        <v>7.0</v>
      </c>
      <c r="AM8" s="8">
        <v>1.0</v>
      </c>
      <c r="AN8" s="8">
        <v>2.0</v>
      </c>
      <c r="AO8" s="9">
        <v>44663.48423611111</v>
      </c>
      <c r="AP8" s="8">
        <v>1512.0</v>
      </c>
      <c r="AQ8" s="9">
        <v>44667.4041087963</v>
      </c>
      <c r="AR8" s="8">
        <v>326.0</v>
      </c>
      <c r="AS8" s="7">
        <v>1153.0521472392638</v>
      </c>
      <c r="AT8" s="8">
        <v>1177.0</v>
      </c>
      <c r="AU8" s="9">
        <v>44652.51636574074</v>
      </c>
      <c r="AV8" s="8">
        <v>261.0</v>
      </c>
      <c r="AW8" s="10">
        <v>1443.360153256705</v>
      </c>
      <c r="AX8" s="8">
        <v>1504.0</v>
      </c>
    </row>
    <row r="9" ht="14.25" customHeight="1">
      <c r="B9" s="5">
        <v>44682.0</v>
      </c>
      <c r="C9" s="6">
        <v>464.0</v>
      </c>
      <c r="D9" s="6">
        <v>2.0</v>
      </c>
      <c r="E9" s="6">
        <v>466.0</v>
      </c>
      <c r="F9" s="6">
        <v>417.0</v>
      </c>
      <c r="G9" s="7">
        <v>1176.6307216809694</v>
      </c>
      <c r="H9" s="7">
        <v>1364.0</v>
      </c>
      <c r="I9" s="6">
        <v>34.0</v>
      </c>
      <c r="J9" s="7">
        <v>1190.2186198908037</v>
      </c>
      <c r="K9" s="7">
        <v>1356.0</v>
      </c>
      <c r="L9" s="6">
        <v>9.0</v>
      </c>
      <c r="M9" s="7">
        <v>1196.4461434222333</v>
      </c>
      <c r="N9" s="7">
        <v>1306.0</v>
      </c>
      <c r="O9" s="6">
        <v>2.0</v>
      </c>
      <c r="P9" s="7">
        <v>1212.1245082612118</v>
      </c>
      <c r="Q9" s="7">
        <v>1261.0</v>
      </c>
      <c r="R9" s="6">
        <v>2.0</v>
      </c>
      <c r="S9" s="7">
        <v>1228.6491646778043</v>
      </c>
      <c r="T9" s="7">
        <v>1265.0</v>
      </c>
      <c r="U9" s="8">
        <v>2.0</v>
      </c>
      <c r="V9" s="7">
        <v>1373.6363636363637</v>
      </c>
      <c r="W9" s="8">
        <v>1378.0</v>
      </c>
      <c r="Y9" s="7"/>
      <c r="AJ9" s="8">
        <v>419.0</v>
      </c>
      <c r="AK9" s="8">
        <v>34.0</v>
      </c>
      <c r="AL9" s="8">
        <v>9.0</v>
      </c>
      <c r="AM9" s="8">
        <v>2.0</v>
      </c>
      <c r="AN9" s="8">
        <v>2.0</v>
      </c>
      <c r="AO9" s="9">
        <v>44708.49451388889</v>
      </c>
      <c r="AP9" s="8">
        <v>1378.0</v>
      </c>
      <c r="AQ9" s="9">
        <v>44687.42605324074</v>
      </c>
      <c r="AR9" s="8">
        <v>234.0</v>
      </c>
      <c r="AS9" s="7">
        <v>1228.3504273504273</v>
      </c>
      <c r="AT9" s="8">
        <v>1251.0</v>
      </c>
      <c r="AU9" s="9">
        <v>44708.494525462964</v>
      </c>
      <c r="AV9" s="8">
        <v>10.0</v>
      </c>
      <c r="AW9" s="10">
        <v>1373.3</v>
      </c>
      <c r="AX9" s="8">
        <v>1378.0</v>
      </c>
    </row>
    <row r="10" ht="14.25" customHeight="1">
      <c r="B10" s="5">
        <v>44713.0</v>
      </c>
      <c r="C10" s="6">
        <v>516.0</v>
      </c>
      <c r="D10" s="6">
        <v>1.0</v>
      </c>
      <c r="E10" s="6">
        <v>517.0</v>
      </c>
      <c r="F10" s="6">
        <v>465.0</v>
      </c>
      <c r="G10" s="7">
        <v>1134.5925639649001</v>
      </c>
      <c r="H10" s="7">
        <v>1353.0</v>
      </c>
      <c r="I10" s="6">
        <v>35.0</v>
      </c>
      <c r="J10" s="7">
        <v>1138.7556377469994</v>
      </c>
      <c r="K10" s="7">
        <v>1338.0</v>
      </c>
      <c r="L10" s="6">
        <v>13.0</v>
      </c>
      <c r="M10" s="7">
        <v>1185.216545716285</v>
      </c>
      <c r="N10" s="7">
        <v>1333.0</v>
      </c>
      <c r="O10" s="6">
        <v>3.0</v>
      </c>
      <c r="P10" s="7">
        <v>1178.2077292110876</v>
      </c>
      <c r="Q10" s="7">
        <v>1280.0</v>
      </c>
      <c r="R10" s="6"/>
      <c r="S10" s="7"/>
      <c r="T10" s="7"/>
      <c r="U10" s="8">
        <v>1.0</v>
      </c>
      <c r="V10" s="7">
        <v>1385.6666666666667</v>
      </c>
      <c r="W10" s="8">
        <v>1390.0</v>
      </c>
      <c r="Y10" s="7"/>
      <c r="AJ10" s="8">
        <v>466.0</v>
      </c>
      <c r="AK10" s="8">
        <v>35.0</v>
      </c>
      <c r="AL10" s="8">
        <v>13.0</v>
      </c>
      <c r="AM10" s="8">
        <v>3.0</v>
      </c>
      <c r="AO10" s="9">
        <v>44718.49936342592</v>
      </c>
      <c r="AP10" s="8">
        <v>1390.0</v>
      </c>
      <c r="AQ10" s="9">
        <v>44723.46662037037</v>
      </c>
      <c r="AR10" s="8">
        <v>147.0</v>
      </c>
      <c r="AS10" s="7">
        <v>1230.3877551020407</v>
      </c>
      <c r="AT10" s="8">
        <v>1280.0</v>
      </c>
      <c r="AU10" s="9">
        <v>44718.499375</v>
      </c>
      <c r="AV10" s="8">
        <v>3.0</v>
      </c>
      <c r="AW10" s="10">
        <v>1385.6666666666667</v>
      </c>
      <c r="AX10" s="8">
        <v>1390.0</v>
      </c>
    </row>
    <row r="11" ht="14.25" customHeight="1">
      <c r="B11" s="5">
        <v>44743.0</v>
      </c>
      <c r="C11" s="6">
        <v>463.0</v>
      </c>
      <c r="D11" s="6">
        <v>5.0</v>
      </c>
      <c r="E11" s="6">
        <v>468.0</v>
      </c>
      <c r="F11" s="6">
        <v>410.0</v>
      </c>
      <c r="G11" s="7">
        <v>1143.7238999918618</v>
      </c>
      <c r="H11" s="7">
        <v>1366.0</v>
      </c>
      <c r="I11" s="6">
        <v>37.0</v>
      </c>
      <c r="J11" s="7">
        <v>1154.6695870053982</v>
      </c>
      <c r="K11" s="7">
        <v>1346.0</v>
      </c>
      <c r="L11" s="6">
        <v>12.0</v>
      </c>
      <c r="M11" s="7">
        <v>1177.2748087283</v>
      </c>
      <c r="N11" s="7">
        <v>1289.0</v>
      </c>
      <c r="O11" s="6">
        <v>4.0</v>
      </c>
      <c r="P11" s="7">
        <v>1127.7221684907834</v>
      </c>
      <c r="Q11" s="7">
        <v>1239.0</v>
      </c>
      <c r="R11" s="6"/>
      <c r="S11" s="7"/>
      <c r="T11" s="7"/>
      <c r="U11" s="8">
        <v>5.0</v>
      </c>
      <c r="V11" s="7">
        <v>1409.124060150376</v>
      </c>
      <c r="W11" s="8">
        <v>1500.0</v>
      </c>
      <c r="Y11" s="7"/>
      <c r="AJ11" s="8">
        <v>415.0</v>
      </c>
      <c r="AK11" s="8">
        <v>37.0</v>
      </c>
      <c r="AL11" s="8">
        <v>12.0</v>
      </c>
      <c r="AM11" s="8">
        <v>4.0</v>
      </c>
      <c r="AO11" s="9">
        <v>44757.50984953704</v>
      </c>
      <c r="AP11" s="8">
        <v>1500.0</v>
      </c>
      <c r="AQ11" s="9">
        <v>44769.4596875</v>
      </c>
      <c r="AR11" s="8">
        <v>160.0</v>
      </c>
      <c r="AS11" s="7">
        <v>1212.10625</v>
      </c>
      <c r="AT11" s="8">
        <v>1228.0</v>
      </c>
      <c r="AU11" s="9">
        <v>44757.50989583333</v>
      </c>
      <c r="AV11" s="8">
        <v>14.0</v>
      </c>
      <c r="AW11" s="10">
        <v>1462.2142857142858</v>
      </c>
      <c r="AX11" s="8">
        <v>1500.0</v>
      </c>
    </row>
    <row r="12" ht="14.25" customHeight="1">
      <c r="B12" s="5">
        <v>44774.0</v>
      </c>
      <c r="C12" s="6">
        <v>688.0</v>
      </c>
      <c r="D12" s="6">
        <v>80.0</v>
      </c>
      <c r="E12" s="6">
        <v>768.0</v>
      </c>
      <c r="F12" s="6">
        <v>627.0</v>
      </c>
      <c r="G12" s="7">
        <v>1206.752467793914</v>
      </c>
      <c r="H12" s="7">
        <v>1366.0</v>
      </c>
      <c r="I12" s="6">
        <v>43.0</v>
      </c>
      <c r="J12" s="7">
        <v>1222.6455648497783</v>
      </c>
      <c r="K12" s="7">
        <v>1366.0</v>
      </c>
      <c r="L12" s="6">
        <v>13.0</v>
      </c>
      <c r="M12" s="7">
        <v>1230.669858269812</v>
      </c>
      <c r="N12" s="7">
        <v>1366.0</v>
      </c>
      <c r="O12" s="6">
        <v>5.0</v>
      </c>
      <c r="P12" s="7">
        <v>1245.437722798348</v>
      </c>
      <c r="Q12" s="7">
        <v>1357.0</v>
      </c>
      <c r="R12" s="6"/>
      <c r="S12" s="7"/>
      <c r="T12" s="7"/>
      <c r="U12" s="8">
        <v>73.0</v>
      </c>
      <c r="V12" s="7">
        <v>1400.5842816828738</v>
      </c>
      <c r="W12" s="8">
        <v>1483.0</v>
      </c>
      <c r="X12" s="8">
        <v>7.0</v>
      </c>
      <c r="Y12" s="7">
        <v>1400.364038171773</v>
      </c>
      <c r="Z12" s="8">
        <v>1462.0</v>
      </c>
      <c r="AJ12" s="8">
        <v>700.0</v>
      </c>
      <c r="AK12" s="8">
        <v>50.0</v>
      </c>
      <c r="AL12" s="8">
        <v>13.0</v>
      </c>
      <c r="AM12" s="8">
        <v>5.0</v>
      </c>
      <c r="AO12" s="9">
        <v>44804.478738425925</v>
      </c>
      <c r="AP12" s="8">
        <v>1483.0</v>
      </c>
      <c r="AQ12" s="9">
        <v>44774.460648148146</v>
      </c>
      <c r="AR12" s="8">
        <v>153.0</v>
      </c>
      <c r="AS12" s="7">
        <v>1217.5555555555557</v>
      </c>
      <c r="AT12" s="8">
        <v>1258.0</v>
      </c>
      <c r="AU12" s="9">
        <v>44804.487280092595</v>
      </c>
      <c r="AV12" s="8">
        <v>52.0</v>
      </c>
      <c r="AW12" s="10">
        <v>1385.6923076923076</v>
      </c>
      <c r="AX12" s="8">
        <v>1393.0</v>
      </c>
    </row>
    <row r="13" ht="14.25" customHeight="1">
      <c r="B13" s="5">
        <v>44805.0</v>
      </c>
      <c r="C13" s="6">
        <v>419.0</v>
      </c>
      <c r="D13" s="6">
        <v>74.0</v>
      </c>
      <c r="E13" s="6">
        <v>493.0</v>
      </c>
      <c r="F13" s="6">
        <v>367.0</v>
      </c>
      <c r="G13" s="6">
        <v>1205.9322782352012</v>
      </c>
      <c r="H13" s="6">
        <v>1366.0</v>
      </c>
      <c r="I13" s="6">
        <v>34.0</v>
      </c>
      <c r="J13" s="6">
        <v>1214.6988273860165</v>
      </c>
      <c r="K13" s="6">
        <v>1366.0</v>
      </c>
      <c r="L13" s="6">
        <v>15.0</v>
      </c>
      <c r="M13" s="6">
        <v>1208.3182955344155</v>
      </c>
      <c r="N13" s="6">
        <v>1366.0</v>
      </c>
      <c r="O13" s="6">
        <v>3.0</v>
      </c>
      <c r="P13" s="6">
        <v>1255.4615764093223</v>
      </c>
      <c r="Q13" s="6">
        <v>1365.0</v>
      </c>
      <c r="R13" s="6"/>
      <c r="S13" s="6"/>
      <c r="T13" s="6"/>
      <c r="U13" s="6">
        <v>68.0</v>
      </c>
      <c r="V13" s="6">
        <v>1392.9921485084935</v>
      </c>
      <c r="W13" s="6">
        <v>1533.0</v>
      </c>
      <c r="X13" s="6">
        <v>5.0</v>
      </c>
      <c r="Y13" s="6">
        <v>1441.0032634032632</v>
      </c>
      <c r="Z13" s="6">
        <v>1487.0</v>
      </c>
      <c r="AA13" s="6">
        <v>1.0</v>
      </c>
      <c r="AB13" s="6">
        <v>1495.2285714285715</v>
      </c>
      <c r="AC13" s="6">
        <v>1521.0</v>
      </c>
      <c r="AD13" s="6"/>
      <c r="AE13" s="6"/>
      <c r="AF13" s="6"/>
      <c r="AG13" s="6"/>
      <c r="AH13" s="6"/>
      <c r="AI13" s="6"/>
      <c r="AJ13" s="6">
        <v>435.0</v>
      </c>
      <c r="AK13" s="6">
        <v>39.0</v>
      </c>
      <c r="AL13" s="6">
        <v>16.0</v>
      </c>
      <c r="AM13" s="6">
        <v>3.0</v>
      </c>
      <c r="AN13" s="6"/>
      <c r="AO13" s="9">
        <v>44826.44065972222</v>
      </c>
      <c r="AP13" s="6">
        <v>1533.0</v>
      </c>
      <c r="AQ13" s="9">
        <v>44808.52260416667</v>
      </c>
      <c r="AR13" s="6">
        <v>156.0</v>
      </c>
      <c r="AS13" s="6">
        <v>1343.3846153846155</v>
      </c>
      <c r="AT13" s="6">
        <v>1365.0</v>
      </c>
      <c r="AU13" s="9">
        <v>44817.484930555554</v>
      </c>
      <c r="AV13" s="6">
        <v>70.0</v>
      </c>
      <c r="AW13" s="6">
        <v>1495.2285714285715</v>
      </c>
      <c r="AX13" s="6">
        <v>1521.0</v>
      </c>
    </row>
    <row r="14" ht="14.25" customHeight="1">
      <c r="B14" s="5">
        <v>44835.0</v>
      </c>
      <c r="C14" s="6">
        <v>124.0</v>
      </c>
      <c r="D14" s="6">
        <v>58.0</v>
      </c>
      <c r="E14" s="6">
        <v>182.0</v>
      </c>
      <c r="F14" s="6">
        <v>117.0</v>
      </c>
      <c r="G14" s="6">
        <v>1282.531643248622</v>
      </c>
      <c r="H14" s="6">
        <v>1366.0</v>
      </c>
      <c r="I14" s="6">
        <v>6.0</v>
      </c>
      <c r="J14" s="6">
        <v>1278.029509725553</v>
      </c>
      <c r="K14" s="6">
        <v>1365.0</v>
      </c>
      <c r="L14" s="6">
        <v>1.0</v>
      </c>
      <c r="M14" s="6">
        <v>1048.8</v>
      </c>
      <c r="N14" s="6">
        <v>1054.0</v>
      </c>
      <c r="O14" s="6"/>
      <c r="P14" s="6"/>
      <c r="Q14" s="6"/>
      <c r="R14" s="6"/>
      <c r="S14" s="6"/>
      <c r="T14" s="6"/>
      <c r="U14" s="6">
        <v>46.0</v>
      </c>
      <c r="V14" s="6">
        <v>1390.330247057916</v>
      </c>
      <c r="W14" s="6">
        <v>1489.0</v>
      </c>
      <c r="X14" s="6">
        <v>11.0</v>
      </c>
      <c r="Y14" s="6">
        <v>1409.1809523809525</v>
      </c>
      <c r="Z14" s="6">
        <v>1515.0</v>
      </c>
      <c r="AA14" s="6">
        <v>1.0</v>
      </c>
      <c r="AB14" s="6">
        <v>1410.5</v>
      </c>
      <c r="AC14" s="6">
        <v>1430.0</v>
      </c>
      <c r="AD14" s="6"/>
      <c r="AE14" s="6"/>
      <c r="AF14" s="6"/>
      <c r="AG14" s="6"/>
      <c r="AH14" s="6"/>
      <c r="AI14" s="6"/>
      <c r="AJ14" s="6">
        <v>163.0</v>
      </c>
      <c r="AK14" s="6">
        <v>17.0</v>
      </c>
      <c r="AL14" s="6">
        <v>2.0</v>
      </c>
      <c r="AM14" s="6"/>
      <c r="AN14" s="6"/>
      <c r="AO14" s="9">
        <v>44858.45903935185</v>
      </c>
      <c r="AP14" s="6">
        <v>1515.0</v>
      </c>
      <c r="AQ14" s="9">
        <v>44853.36724537037</v>
      </c>
      <c r="AR14" s="11">
        <v>85.0</v>
      </c>
      <c r="AS14" s="6">
        <v>1048.8</v>
      </c>
      <c r="AT14" s="6">
        <v>1054.0</v>
      </c>
      <c r="AU14" s="9">
        <v>44858.46760416667</v>
      </c>
      <c r="AV14" s="6">
        <v>76.0</v>
      </c>
      <c r="AW14" s="6">
        <v>1410.5</v>
      </c>
      <c r="AX14" s="6">
        <v>1430.0</v>
      </c>
      <c r="AY14" s="6"/>
      <c r="AZ14" s="6"/>
      <c r="BA14" s="6"/>
      <c r="BB14" s="6"/>
      <c r="BC14" s="9"/>
      <c r="BD14" s="6"/>
      <c r="BE14" s="9"/>
      <c r="BF14" s="6"/>
      <c r="BG14" s="6"/>
      <c r="BH14" s="6"/>
      <c r="BI14" s="9"/>
      <c r="BJ14" s="6"/>
      <c r="BK14" s="6"/>
      <c r="BL14" s="6"/>
    </row>
    <row r="15" ht="14.25" customHeight="1">
      <c r="A15" s="6"/>
      <c r="B15" s="5">
        <v>44866.0</v>
      </c>
      <c r="C15" s="6">
        <v>227.0</v>
      </c>
      <c r="D15" s="6">
        <v>110.0</v>
      </c>
      <c r="E15" s="6">
        <v>337.0</v>
      </c>
      <c r="F15" s="6">
        <v>182.0</v>
      </c>
      <c r="G15" s="6">
        <v>1234.5673285480832</v>
      </c>
      <c r="H15" s="6">
        <v>1366.0</v>
      </c>
      <c r="I15" s="6">
        <v>24.0</v>
      </c>
      <c r="J15" s="6">
        <v>1183.3971696795343</v>
      </c>
      <c r="K15" s="6">
        <v>1366.0</v>
      </c>
      <c r="L15" s="6">
        <v>16.0</v>
      </c>
      <c r="M15" s="6">
        <v>1152.2014932974787</v>
      </c>
      <c r="N15" s="6">
        <v>1322.0</v>
      </c>
      <c r="O15" s="6">
        <v>4.0</v>
      </c>
      <c r="P15" s="6">
        <v>1260.4415904061411</v>
      </c>
      <c r="Q15" s="6">
        <v>1366.0</v>
      </c>
      <c r="R15" s="6">
        <v>1.0</v>
      </c>
      <c r="S15" s="6">
        <v>1270.672131147541</v>
      </c>
      <c r="T15" s="6">
        <v>1290.0</v>
      </c>
      <c r="U15" s="6">
        <v>95.0</v>
      </c>
      <c r="V15" s="6">
        <v>1419.875419677542</v>
      </c>
      <c r="W15" s="6">
        <v>1654.0</v>
      </c>
      <c r="X15" s="6">
        <v>7.0</v>
      </c>
      <c r="Y15" s="6">
        <v>1428.2687697588894</v>
      </c>
      <c r="Z15" s="6">
        <v>1582.0</v>
      </c>
      <c r="AA15" s="6">
        <v>8.0</v>
      </c>
      <c r="AB15" s="6">
        <v>1421.0592842741346</v>
      </c>
      <c r="AC15" s="6">
        <v>1527.0</v>
      </c>
      <c r="AD15" s="6"/>
      <c r="AE15" s="6"/>
      <c r="AF15" s="6"/>
      <c r="AG15" s="6"/>
      <c r="AH15" s="6"/>
      <c r="AI15" s="6"/>
      <c r="AJ15" s="6">
        <v>277.0</v>
      </c>
      <c r="AK15" s="6">
        <v>31.0</v>
      </c>
      <c r="AL15" s="6">
        <v>24.0</v>
      </c>
      <c r="AM15" s="6">
        <v>4.0</v>
      </c>
      <c r="AN15" s="6">
        <v>1.0</v>
      </c>
      <c r="AO15" s="9">
        <v>44870.503287037034</v>
      </c>
      <c r="AP15" s="6">
        <v>1654.0</v>
      </c>
      <c r="AQ15" s="9">
        <v>44874.40059027778</v>
      </c>
      <c r="AR15" s="11">
        <v>498.0</v>
      </c>
      <c r="AS15" s="6">
        <v>1198.5240963855422</v>
      </c>
      <c r="AT15" s="6">
        <v>1236.0</v>
      </c>
      <c r="AU15" s="9">
        <v>44871.51403935185</v>
      </c>
      <c r="AV15" s="6">
        <v>108.0</v>
      </c>
      <c r="AW15" s="6">
        <v>1505.1203703703704</v>
      </c>
      <c r="AX15" s="6">
        <v>1527.0</v>
      </c>
      <c r="AY15" s="6"/>
      <c r="AZ15" s="6"/>
      <c r="BA15" s="6"/>
      <c r="BB15" s="6"/>
      <c r="BC15" s="9"/>
      <c r="BD15" s="6"/>
      <c r="BE15" s="9"/>
      <c r="BF15" s="6"/>
      <c r="BG15" s="6"/>
      <c r="BH15" s="6"/>
      <c r="BI15" s="9"/>
      <c r="BJ15" s="6"/>
      <c r="BK15" s="6"/>
      <c r="BL15" s="6"/>
    </row>
    <row r="16" ht="14.25" customHeight="1">
      <c r="A16" s="6"/>
      <c r="B16" s="5">
        <v>44896.0</v>
      </c>
      <c r="C16" s="6">
        <v>226.0</v>
      </c>
      <c r="D16" s="6">
        <v>62.0</v>
      </c>
      <c r="E16" s="6">
        <v>288.0</v>
      </c>
      <c r="F16" s="6">
        <v>208.0</v>
      </c>
      <c r="G16" s="6">
        <v>1230.2857213977566</v>
      </c>
      <c r="H16" s="6">
        <v>1366.0</v>
      </c>
      <c r="I16" s="6">
        <v>7.0</v>
      </c>
      <c r="J16" s="6">
        <v>1214.1474116743473</v>
      </c>
      <c r="K16" s="6">
        <v>1366.0</v>
      </c>
      <c r="L16" s="6">
        <v>8.0</v>
      </c>
      <c r="M16" s="6">
        <v>1271.4769507561523</v>
      </c>
      <c r="N16" s="6">
        <v>1366.0</v>
      </c>
      <c r="O16" s="6">
        <v>3.0</v>
      </c>
      <c r="P16" s="6">
        <v>1140.6984421529846</v>
      </c>
      <c r="Q16" s="6">
        <v>1260.0</v>
      </c>
      <c r="R16" s="6"/>
      <c r="S16" s="6"/>
      <c r="T16" s="6"/>
      <c r="U16" s="6">
        <v>51.0</v>
      </c>
      <c r="V16" s="6">
        <v>1400.2122103630722</v>
      </c>
      <c r="W16" s="6">
        <v>1575.0</v>
      </c>
      <c r="X16" s="6">
        <v>4.0</v>
      </c>
      <c r="Y16" s="6">
        <v>1408.5155976092867</v>
      </c>
      <c r="Z16" s="6">
        <v>1466.0</v>
      </c>
      <c r="AA16" s="6">
        <v>3.0</v>
      </c>
      <c r="AB16" s="6">
        <v>1396.4758747226488</v>
      </c>
      <c r="AC16" s="6">
        <v>1454.0</v>
      </c>
      <c r="AD16" s="6">
        <v>4.0</v>
      </c>
      <c r="AE16" s="6">
        <v>1394.4478417266187</v>
      </c>
      <c r="AF16" s="6">
        <v>1432.0</v>
      </c>
      <c r="AG16" s="6"/>
      <c r="AH16" s="6"/>
      <c r="AI16" s="6"/>
      <c r="AJ16" s="6">
        <v>259.0</v>
      </c>
      <c r="AK16" s="6">
        <v>11.0</v>
      </c>
      <c r="AL16" s="6">
        <v>11.0</v>
      </c>
      <c r="AM16" s="6">
        <v>7.0</v>
      </c>
      <c r="AN16" s="6"/>
      <c r="AO16" s="9">
        <v>44900.48584490741</v>
      </c>
      <c r="AP16" s="6">
        <v>1575.0</v>
      </c>
      <c r="AQ16" s="9">
        <v>44920.3621875</v>
      </c>
      <c r="AR16" s="11">
        <v>155.0</v>
      </c>
      <c r="AS16" s="6">
        <v>1052.7096774193549</v>
      </c>
      <c r="AT16" s="6">
        <v>1079.0</v>
      </c>
      <c r="AU16" s="9">
        <v>44916.468564814815</v>
      </c>
      <c r="AV16" s="6">
        <v>169.0</v>
      </c>
      <c r="AW16" s="6">
        <v>1403.4674556213017</v>
      </c>
      <c r="AX16" s="6">
        <v>1432.0</v>
      </c>
      <c r="AY16" s="6"/>
      <c r="AZ16" s="6"/>
      <c r="BA16" s="6"/>
      <c r="BB16" s="6"/>
      <c r="BC16" s="9"/>
      <c r="BD16" s="6"/>
      <c r="BE16" s="9"/>
      <c r="BF16" s="6"/>
      <c r="BG16" s="6"/>
      <c r="BH16" s="6"/>
      <c r="BI16" s="9"/>
      <c r="BJ16" s="6"/>
      <c r="BK16" s="6"/>
      <c r="BL16" s="6"/>
    </row>
    <row r="17" ht="14.25" customHeight="1">
      <c r="A17" s="6"/>
      <c r="B17" s="5">
        <v>44927.0</v>
      </c>
      <c r="C17" s="6">
        <v>69.0</v>
      </c>
      <c r="D17" s="6">
        <v>17.0</v>
      </c>
      <c r="E17" s="6">
        <v>86.0</v>
      </c>
      <c r="F17" s="6">
        <v>64.0</v>
      </c>
      <c r="G17" s="6">
        <v>1235.583291485698</v>
      </c>
      <c r="H17" s="6">
        <v>1366.0</v>
      </c>
      <c r="I17" s="6">
        <v>4.0</v>
      </c>
      <c r="J17" s="6">
        <v>1255.9263189831781</v>
      </c>
      <c r="K17" s="6">
        <v>1366.0</v>
      </c>
      <c r="L17" s="6">
        <v>1.0</v>
      </c>
      <c r="M17" s="6">
        <v>1309.822429906542</v>
      </c>
      <c r="N17" s="6">
        <v>1326.0</v>
      </c>
      <c r="O17" s="6"/>
      <c r="P17" s="6"/>
      <c r="Q17" s="6"/>
      <c r="R17" s="6"/>
      <c r="S17" s="6"/>
      <c r="T17" s="6"/>
      <c r="U17" s="6">
        <v>16.0</v>
      </c>
      <c r="V17" s="6">
        <v>1380.4025401069518</v>
      </c>
      <c r="W17" s="6">
        <v>1408.0</v>
      </c>
      <c r="X17" s="6"/>
      <c r="Y17" s="6"/>
      <c r="Z17" s="6"/>
      <c r="AA17" s="6">
        <v>1.0</v>
      </c>
      <c r="AB17" s="6">
        <v>1385.774193548387</v>
      </c>
      <c r="AC17" s="6">
        <v>1394.0</v>
      </c>
      <c r="AD17" s="6"/>
      <c r="AE17" s="6"/>
      <c r="AF17" s="6"/>
      <c r="AG17" s="6"/>
      <c r="AH17" s="6"/>
      <c r="AI17" s="6"/>
      <c r="AJ17" s="6">
        <v>80.0</v>
      </c>
      <c r="AK17" s="6">
        <v>4.0</v>
      </c>
      <c r="AL17" s="6">
        <v>2.0</v>
      </c>
      <c r="AM17" s="6"/>
      <c r="AN17" s="6"/>
      <c r="AO17" s="9">
        <v>44954.44868055556</v>
      </c>
      <c r="AP17" s="6">
        <v>1408.0</v>
      </c>
      <c r="AQ17" s="9">
        <v>44949.424525462964</v>
      </c>
      <c r="AR17" s="11">
        <v>107.0</v>
      </c>
      <c r="AS17" s="6">
        <v>1309.822429906542</v>
      </c>
      <c r="AT17" s="6">
        <v>1326.0</v>
      </c>
      <c r="AU17" s="9">
        <v>44943.469976851855</v>
      </c>
      <c r="AV17" s="6">
        <v>62.0</v>
      </c>
      <c r="AW17" s="6">
        <v>1385.774193548387</v>
      </c>
      <c r="AX17" s="6">
        <v>1394.0</v>
      </c>
      <c r="AY17" s="6"/>
      <c r="AZ17" s="6"/>
      <c r="BA17" s="6"/>
      <c r="BB17" s="6"/>
      <c r="BC17" s="9"/>
      <c r="BD17" s="6"/>
      <c r="BE17" s="9"/>
      <c r="BF17" s="6"/>
      <c r="BG17" s="6"/>
      <c r="BH17" s="6"/>
      <c r="BI17" s="9"/>
      <c r="BJ17" s="6"/>
      <c r="BK17" s="6"/>
      <c r="BL17" s="6"/>
    </row>
    <row r="18" ht="14.25" customHeight="1">
      <c r="A18" s="6"/>
      <c r="B18" s="5">
        <v>44958.0</v>
      </c>
      <c r="C18" s="6">
        <v>110.0</v>
      </c>
      <c r="D18" s="6">
        <v>101.0</v>
      </c>
      <c r="E18" s="6">
        <v>211.0</v>
      </c>
      <c r="F18" s="6">
        <v>100.0</v>
      </c>
      <c r="G18" s="6">
        <v>1267.6095994049458</v>
      </c>
      <c r="H18" s="6">
        <v>1366.0</v>
      </c>
      <c r="I18" s="6">
        <v>5.0</v>
      </c>
      <c r="J18" s="6">
        <v>1224.7293690059812</v>
      </c>
      <c r="K18" s="6">
        <v>1341.0</v>
      </c>
      <c r="L18" s="6">
        <v>3.0</v>
      </c>
      <c r="M18" s="6">
        <v>1288.2770150035508</v>
      </c>
      <c r="N18" s="6">
        <v>1349.0</v>
      </c>
      <c r="O18" s="6"/>
      <c r="P18" s="6"/>
      <c r="Q18" s="6"/>
      <c r="R18" s="6">
        <v>2.0</v>
      </c>
      <c r="S18" s="6">
        <v>1193.4703574542284</v>
      </c>
      <c r="T18" s="6">
        <v>1272.0</v>
      </c>
      <c r="U18" s="6">
        <v>92.0</v>
      </c>
      <c r="V18" s="6">
        <v>1407.831259421829</v>
      </c>
      <c r="W18" s="6">
        <v>1558.0</v>
      </c>
      <c r="X18" s="6">
        <v>7.0</v>
      </c>
      <c r="Y18" s="6">
        <v>1417.8310911410776</v>
      </c>
      <c r="Z18" s="6">
        <v>1487.0</v>
      </c>
      <c r="AA18" s="6">
        <v>1.0</v>
      </c>
      <c r="AB18" s="6">
        <v>1412.9473684210527</v>
      </c>
      <c r="AC18" s="6">
        <v>1426.0</v>
      </c>
      <c r="AD18" s="6">
        <v>1.0</v>
      </c>
      <c r="AE18" s="6">
        <v>1440.3971631205675</v>
      </c>
      <c r="AF18" s="6">
        <v>1502.0</v>
      </c>
      <c r="AG18" s="6"/>
      <c r="AH18" s="6"/>
      <c r="AI18" s="6"/>
      <c r="AJ18" s="6">
        <v>192.0</v>
      </c>
      <c r="AK18" s="6">
        <v>12.0</v>
      </c>
      <c r="AL18" s="6">
        <v>4.0</v>
      </c>
      <c r="AM18" s="6">
        <v>1.0</v>
      </c>
      <c r="AN18" s="6">
        <v>2.0</v>
      </c>
      <c r="AO18" s="9">
        <v>44979.51935185185</v>
      </c>
      <c r="AP18" s="6">
        <v>1558.0</v>
      </c>
      <c r="AQ18" s="9">
        <v>44965.58274305556</v>
      </c>
      <c r="AR18" s="11">
        <v>120.0</v>
      </c>
      <c r="AS18" s="6">
        <v>1203.831</v>
      </c>
      <c r="AT18" s="6">
        <v>1272.0</v>
      </c>
      <c r="AU18" s="9">
        <v>44979.498773148145</v>
      </c>
      <c r="AV18" s="6">
        <v>141.0</v>
      </c>
      <c r="AW18" s="6">
        <v>1440.3971631205675</v>
      </c>
      <c r="AX18" s="6">
        <v>1502.0</v>
      </c>
      <c r="AY18" s="6"/>
      <c r="AZ18" s="6"/>
      <c r="BA18" s="6"/>
      <c r="BB18" s="6"/>
      <c r="BC18" s="9"/>
      <c r="BD18" s="6"/>
      <c r="BE18" s="9"/>
      <c r="BF18" s="6"/>
      <c r="BG18" s="6"/>
      <c r="BH18" s="6"/>
      <c r="BI18" s="9"/>
      <c r="BJ18" s="6"/>
      <c r="BK18" s="6"/>
      <c r="BL18" s="6"/>
    </row>
    <row r="19" ht="14.25" customHeight="1">
      <c r="A19" s="6"/>
      <c r="B19" s="5">
        <v>44986.0</v>
      </c>
      <c r="C19" s="6">
        <v>257.0</v>
      </c>
      <c r="D19" s="6">
        <v>82.0</v>
      </c>
      <c r="E19" s="6">
        <v>339.0</v>
      </c>
      <c r="F19" s="6">
        <v>236.0</v>
      </c>
      <c r="G19" s="6">
        <v>1268.951788872286</v>
      </c>
      <c r="H19" s="6">
        <v>1366.0</v>
      </c>
      <c r="I19" s="6">
        <v>12.0</v>
      </c>
      <c r="J19" s="6">
        <v>1209.5604019624632</v>
      </c>
      <c r="K19" s="6">
        <v>1366.0</v>
      </c>
      <c r="L19" s="6">
        <v>8.0</v>
      </c>
      <c r="M19" s="6">
        <v>1255.0613912759925</v>
      </c>
      <c r="N19" s="6">
        <v>1366.0</v>
      </c>
      <c r="O19" s="6"/>
      <c r="P19" s="6"/>
      <c r="Q19" s="6"/>
      <c r="R19" s="6">
        <v>1.0</v>
      </c>
      <c r="S19" s="6">
        <v>1175.2358974358974</v>
      </c>
      <c r="T19" s="6">
        <v>1262.0</v>
      </c>
      <c r="U19" s="6">
        <v>64.0</v>
      </c>
      <c r="V19" s="6">
        <v>1409.5123707621342</v>
      </c>
      <c r="W19" s="6">
        <v>1552.0</v>
      </c>
      <c r="X19" s="6">
        <v>12.0</v>
      </c>
      <c r="Y19" s="6">
        <v>1409.070510703839</v>
      </c>
      <c r="Z19" s="6">
        <v>1566.0</v>
      </c>
      <c r="AA19" s="6">
        <v>5.0</v>
      </c>
      <c r="AB19" s="6">
        <v>1439.4419928788698</v>
      </c>
      <c r="AC19" s="6">
        <v>1526.0</v>
      </c>
      <c r="AD19" s="6">
        <v>1.0</v>
      </c>
      <c r="AE19" s="6">
        <v>1388.4028776978416</v>
      </c>
      <c r="AF19" s="6">
        <v>1403.0</v>
      </c>
      <c r="AG19" s="6"/>
      <c r="AH19" s="6"/>
      <c r="AI19" s="6"/>
      <c r="AJ19" s="6">
        <v>300.0</v>
      </c>
      <c r="AK19" s="6">
        <v>24.0</v>
      </c>
      <c r="AL19" s="6">
        <v>13.0</v>
      </c>
      <c r="AM19" s="6">
        <v>1.0</v>
      </c>
      <c r="AN19" s="6">
        <v>1.0</v>
      </c>
      <c r="AO19" s="9">
        <v>45010.504791666666</v>
      </c>
      <c r="AP19" s="6">
        <v>1566.0</v>
      </c>
      <c r="AQ19" s="9">
        <v>45004.379594907405</v>
      </c>
      <c r="AR19" s="6">
        <v>195.0</v>
      </c>
      <c r="AS19" s="6">
        <v>1175.2358974358974</v>
      </c>
      <c r="AT19" s="6">
        <v>1262.0</v>
      </c>
      <c r="AU19" s="9">
        <v>45004.44627314815</v>
      </c>
      <c r="AV19" s="6">
        <v>139.0</v>
      </c>
      <c r="AW19" s="6">
        <v>1388.4028776978416</v>
      </c>
      <c r="AX19" s="6">
        <v>1403.0</v>
      </c>
      <c r="AY19" s="6"/>
      <c r="AZ19" s="6"/>
      <c r="BA19" s="6"/>
      <c r="BB19" s="6"/>
      <c r="BC19" s="9"/>
      <c r="BD19" s="6"/>
      <c r="BE19" s="9"/>
      <c r="BF19" s="6"/>
      <c r="BG19" s="6"/>
      <c r="BH19" s="6"/>
      <c r="BI19" s="9"/>
      <c r="BJ19" s="6"/>
      <c r="BK19" s="6"/>
      <c r="BL19" s="6"/>
    </row>
    <row r="20" ht="14.25" customHeight="1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9"/>
      <c r="AP20" s="6"/>
      <c r="AQ20" s="9"/>
      <c r="AR20" s="11"/>
      <c r="AS20" s="6"/>
      <c r="AT20" s="6"/>
      <c r="AU20" s="9"/>
      <c r="AV20" s="6"/>
      <c r="AW20" s="6"/>
      <c r="AX20" s="6"/>
      <c r="AY20" s="6"/>
      <c r="AZ20" s="6"/>
      <c r="BA20" s="6"/>
      <c r="BB20" s="6"/>
      <c r="BC20" s="9"/>
      <c r="BD20" s="6"/>
      <c r="BE20" s="9"/>
      <c r="BF20" s="6"/>
      <c r="BG20" s="6"/>
      <c r="BH20" s="6"/>
      <c r="BI20" s="9"/>
      <c r="BJ20" s="6"/>
      <c r="BK20" s="6"/>
      <c r="BL20" s="6"/>
    </row>
    <row r="21" ht="14.25" customHeight="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9"/>
      <c r="AP21" s="6"/>
      <c r="AQ21" s="9"/>
      <c r="AR21" s="11"/>
      <c r="AS21" s="6"/>
      <c r="AT21" s="6"/>
      <c r="AU21" s="9"/>
      <c r="AV21" s="6"/>
      <c r="AW21" s="6"/>
      <c r="AX21" s="6"/>
      <c r="AY21" s="6"/>
      <c r="AZ21" s="6"/>
      <c r="BA21" s="6"/>
      <c r="BB21" s="6"/>
      <c r="BC21" s="9"/>
      <c r="BD21" s="6"/>
      <c r="BE21" s="9"/>
      <c r="BF21" s="6"/>
      <c r="BG21" s="6"/>
      <c r="BH21" s="6"/>
      <c r="BI21" s="9"/>
      <c r="BJ21" s="6"/>
      <c r="BK21" s="6"/>
      <c r="BL21" s="6"/>
    </row>
    <row r="22" ht="14.25" customHeight="1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4.25" customHeight="1"/>
    <row r="24" ht="14.25" customHeight="1"/>
    <row r="25" ht="14.25" customHeight="1">
      <c r="B25" s="12" t="s">
        <v>0</v>
      </c>
      <c r="C25" s="12" t="s">
        <v>47</v>
      </c>
      <c r="E25" s="12" t="s">
        <v>0</v>
      </c>
      <c r="F25" s="12" t="s">
        <v>48</v>
      </c>
      <c r="G25" s="12" t="s">
        <v>49</v>
      </c>
      <c r="I25" s="12" t="s">
        <v>0</v>
      </c>
      <c r="J25" s="12" t="s">
        <v>50</v>
      </c>
      <c r="K25" s="12" t="s">
        <v>51</v>
      </c>
      <c r="L25" s="12" t="s">
        <v>52</v>
      </c>
      <c r="M25" s="12" t="s">
        <v>53</v>
      </c>
      <c r="N25" s="12" t="s">
        <v>54</v>
      </c>
      <c r="P25" s="12" t="str">
        <f t="shared" ref="P25:P42" si="2">I25</f>
        <v>Mês/ano</v>
      </c>
      <c r="Q25" s="12" t="s">
        <v>50</v>
      </c>
      <c r="R25" s="12" t="s">
        <v>51</v>
      </c>
      <c r="S25" s="12" t="s">
        <v>52</v>
      </c>
      <c r="T25" s="12" t="s">
        <v>53</v>
      </c>
      <c r="U25" s="12" t="s">
        <v>54</v>
      </c>
      <c r="W25" s="12" t="str">
        <f t="shared" ref="W25:W42" si="3">P25</f>
        <v>Mês/ano</v>
      </c>
      <c r="X25" s="12" t="s">
        <v>50</v>
      </c>
      <c r="Y25" s="12" t="s">
        <v>51</v>
      </c>
      <c r="Z25" s="12" t="s">
        <v>52</v>
      </c>
      <c r="AA25" s="12" t="s">
        <v>53</v>
      </c>
      <c r="AB25" s="12" t="s">
        <v>54</v>
      </c>
      <c r="AD25" s="13" t="s">
        <v>55</v>
      </c>
      <c r="AE25" s="13" t="s">
        <v>56</v>
      </c>
      <c r="AF25" s="8" t="str">
        <f>""</f>
        <v/>
      </c>
      <c r="AG25" s="13" t="s">
        <v>55</v>
      </c>
      <c r="AH25" s="13" t="s">
        <v>57</v>
      </c>
      <c r="AI25" s="13" t="s">
        <v>58</v>
      </c>
      <c r="AJ25" s="8" t="str">
        <f>""</f>
        <v/>
      </c>
      <c r="AL25" s="12" t="s">
        <v>0</v>
      </c>
      <c r="AM25" s="12" t="s">
        <v>50</v>
      </c>
      <c r="AN25" s="12" t="s">
        <v>51</v>
      </c>
      <c r="AO25" s="12" t="s">
        <v>52</v>
      </c>
      <c r="AP25" s="12" t="s">
        <v>53</v>
      </c>
      <c r="AQ25" s="12" t="s">
        <v>54</v>
      </c>
    </row>
    <row r="26" ht="14.25" customHeight="1">
      <c r="B26" s="14">
        <f t="shared" ref="B26:B42" si="5">B3</f>
        <v>44501</v>
      </c>
      <c r="C26" s="8">
        <f t="shared" ref="C26:C42" si="6">E3</f>
        <v>48</v>
      </c>
      <c r="E26" s="14">
        <f t="shared" ref="E26:E42" si="7">B26</f>
        <v>44501</v>
      </c>
      <c r="F26" s="15">
        <f t="shared" ref="F26:F42" si="8">C3/E3</f>
        <v>0.9583333333</v>
      </c>
      <c r="G26" s="15">
        <f t="shared" ref="G26:G42" si="9">D3/E3</f>
        <v>0.04166666667</v>
      </c>
      <c r="I26" s="14">
        <f t="shared" ref="I26:I42" si="10">E26</f>
        <v>44501</v>
      </c>
      <c r="J26" s="16">
        <f t="shared" ref="J26:N26" si="1">AJ3/$E3</f>
        <v>0.9166666667</v>
      </c>
      <c r="K26" s="16">
        <f t="shared" si="1"/>
        <v>0.08333333333</v>
      </c>
      <c r="L26" s="16">
        <f t="shared" si="1"/>
        <v>0</v>
      </c>
      <c r="M26" s="16">
        <f t="shared" si="1"/>
        <v>0</v>
      </c>
      <c r="N26" s="16">
        <f t="shared" si="1"/>
        <v>0</v>
      </c>
      <c r="P26" s="14">
        <f t="shared" si="2"/>
        <v>44501</v>
      </c>
      <c r="Q26" s="17">
        <f t="shared" ref="Q26:Q42" si="12">G3</f>
        <v>1162.978018</v>
      </c>
      <c r="R26" s="17">
        <f t="shared" ref="R26:R42" si="13">J3</f>
        <v>1127.697143</v>
      </c>
      <c r="S26" s="17" t="str">
        <f t="shared" ref="S26:S42" si="14">M3</f>
        <v/>
      </c>
      <c r="T26" s="17" t="str">
        <f t="shared" ref="T26:T42" si="15">P3</f>
        <v/>
      </c>
      <c r="U26" s="17" t="str">
        <f t="shared" ref="U26:U42" si="16">S3</f>
        <v/>
      </c>
      <c r="W26" s="14">
        <f t="shared" si="3"/>
        <v>44501</v>
      </c>
      <c r="X26" s="17">
        <f t="shared" ref="X26:X42" si="17">V3</f>
        <v>1372.041667</v>
      </c>
      <c r="Y26" s="17" t="str">
        <f t="shared" ref="Y26:Y42" si="18">Y3</f>
        <v/>
      </c>
      <c r="Z26" s="17" t="str">
        <f t="shared" ref="Z26:Z42" si="19">AB3</f>
        <v/>
      </c>
      <c r="AA26" s="17" t="str">
        <f t="shared" ref="AA26:AA42" si="20">AE3</f>
        <v/>
      </c>
      <c r="AB26" s="17" t="str">
        <f t="shared" ref="AB26:AB42" si="21">AH3</f>
        <v/>
      </c>
      <c r="AD26" s="18">
        <f>W26</f>
        <v>44501</v>
      </c>
      <c r="AE26" s="8">
        <f>AP3</f>
        <v>1378</v>
      </c>
      <c r="AG26" s="14">
        <f t="shared" ref="AG26:AG42" si="23">W26</f>
        <v>44501</v>
      </c>
      <c r="AH26" s="8">
        <f t="shared" ref="AH26:AH42" si="24">AR3</f>
        <v>60</v>
      </c>
      <c r="AI26" s="8">
        <f t="shared" ref="AI26:AI42" si="25">AV3</f>
        <v>9</v>
      </c>
      <c r="AL26" s="14">
        <f t="shared" ref="AL26:AL42" si="26">AG26</f>
        <v>44501</v>
      </c>
      <c r="AM26" s="8">
        <f t="shared" ref="AM26:AQ26" si="4">AJ3/$E3</f>
        <v>0.9166666667</v>
      </c>
      <c r="AN26" s="8">
        <f t="shared" si="4"/>
        <v>0.08333333333</v>
      </c>
      <c r="AO26" s="8">
        <f t="shared" si="4"/>
        <v>0</v>
      </c>
      <c r="AP26" s="8">
        <f t="shared" si="4"/>
        <v>0</v>
      </c>
      <c r="AQ26" s="8">
        <f t="shared" si="4"/>
        <v>0</v>
      </c>
    </row>
    <row r="27" ht="14.25" customHeight="1">
      <c r="B27" s="14">
        <f t="shared" si="5"/>
        <v>44531</v>
      </c>
      <c r="C27" s="8">
        <f t="shared" si="6"/>
        <v>263</v>
      </c>
      <c r="E27" s="14">
        <f t="shared" si="7"/>
        <v>44531</v>
      </c>
      <c r="F27" s="15">
        <f t="shared" si="8"/>
        <v>0.7680608365</v>
      </c>
      <c r="G27" s="15">
        <f t="shared" si="9"/>
        <v>0.2319391635</v>
      </c>
      <c r="I27" s="14">
        <f t="shared" si="10"/>
        <v>44531</v>
      </c>
      <c r="J27" s="16">
        <f t="shared" ref="J27:N27" si="11">AJ4/$E4</f>
        <v>0.8935361217</v>
      </c>
      <c r="K27" s="16">
        <f t="shared" si="11"/>
        <v>0.07224334601</v>
      </c>
      <c r="L27" s="16">
        <f t="shared" si="11"/>
        <v>0.01901140684</v>
      </c>
      <c r="M27" s="16">
        <f t="shared" si="11"/>
        <v>0.01140684411</v>
      </c>
      <c r="N27" s="16">
        <f t="shared" si="11"/>
        <v>0.003802281369</v>
      </c>
      <c r="P27" s="14">
        <f t="shared" si="2"/>
        <v>44531</v>
      </c>
      <c r="Q27" s="17">
        <f t="shared" si="12"/>
        <v>1273.589172</v>
      </c>
      <c r="R27" s="17">
        <f t="shared" si="13"/>
        <v>1247.536822</v>
      </c>
      <c r="S27" s="17">
        <f t="shared" si="14"/>
        <v>1274.153213</v>
      </c>
      <c r="T27" s="17">
        <f t="shared" si="15"/>
        <v>1338.563929</v>
      </c>
      <c r="U27" s="17" t="str">
        <f t="shared" si="16"/>
        <v/>
      </c>
      <c r="W27" s="14">
        <f t="shared" si="3"/>
        <v>44531</v>
      </c>
      <c r="X27" s="17">
        <f t="shared" si="17"/>
        <v>1403.063598</v>
      </c>
      <c r="Y27" s="17">
        <f t="shared" si="18"/>
        <v>1387.1565</v>
      </c>
      <c r="Z27" s="17" t="str">
        <f t="shared" si="19"/>
        <v/>
      </c>
      <c r="AA27" s="17" t="str">
        <f t="shared" si="20"/>
        <v/>
      </c>
      <c r="AB27" s="17">
        <f t="shared" si="21"/>
        <v>1376.649485</v>
      </c>
      <c r="AD27" s="18">
        <f t="shared" ref="AD27:AE27" si="22">AO4</f>
        <v>44544.45416</v>
      </c>
      <c r="AE27" s="8">
        <f t="shared" si="22"/>
        <v>1620</v>
      </c>
      <c r="AG27" s="14">
        <f t="shared" si="23"/>
        <v>44531</v>
      </c>
      <c r="AH27" s="8">
        <f t="shared" si="24"/>
        <v>177</v>
      </c>
      <c r="AI27" s="8">
        <f t="shared" si="25"/>
        <v>194</v>
      </c>
      <c r="AL27" s="14">
        <f t="shared" si="26"/>
        <v>44531</v>
      </c>
      <c r="AM27" s="8">
        <f t="shared" ref="AM27:AQ27" si="27">AJ4/$E4</f>
        <v>0.8935361217</v>
      </c>
      <c r="AN27" s="8">
        <f t="shared" si="27"/>
        <v>0.07224334601</v>
      </c>
      <c r="AO27" s="8">
        <f t="shared" si="27"/>
        <v>0.01901140684</v>
      </c>
      <c r="AP27" s="8">
        <f t="shared" si="27"/>
        <v>0.01140684411</v>
      </c>
      <c r="AQ27" s="8">
        <f t="shared" si="27"/>
        <v>0.003802281369</v>
      </c>
    </row>
    <row r="28" ht="14.25" customHeight="1">
      <c r="B28" s="14">
        <f t="shared" si="5"/>
        <v>44562</v>
      </c>
      <c r="C28" s="8">
        <f t="shared" si="6"/>
        <v>287</v>
      </c>
      <c r="E28" s="14">
        <f t="shared" si="7"/>
        <v>44562</v>
      </c>
      <c r="F28" s="15">
        <f t="shared" si="8"/>
        <v>0.6027874564</v>
      </c>
      <c r="G28" s="15">
        <f t="shared" si="9"/>
        <v>0.3972125436</v>
      </c>
      <c r="I28" s="14">
        <f t="shared" si="10"/>
        <v>44562</v>
      </c>
      <c r="J28" s="16">
        <f t="shared" ref="J28:N28" si="28">AJ5/$E5</f>
        <v>0.8675958188</v>
      </c>
      <c r="K28" s="16">
        <f t="shared" si="28"/>
        <v>0.08362369338</v>
      </c>
      <c r="L28" s="16">
        <f t="shared" si="28"/>
        <v>0.03484320557</v>
      </c>
      <c r="M28" s="16">
        <f t="shared" si="28"/>
        <v>0.01393728223</v>
      </c>
      <c r="N28" s="16">
        <f t="shared" si="28"/>
        <v>0</v>
      </c>
      <c r="P28" s="14">
        <f t="shared" si="2"/>
        <v>44562</v>
      </c>
      <c r="Q28" s="17">
        <f t="shared" si="12"/>
        <v>1279.988274</v>
      </c>
      <c r="R28" s="17">
        <f t="shared" si="13"/>
        <v>1209.376131</v>
      </c>
      <c r="S28" s="17">
        <f t="shared" si="14"/>
        <v>1183.966748</v>
      </c>
      <c r="T28" s="17">
        <f t="shared" si="15"/>
        <v>1315.328125</v>
      </c>
      <c r="U28" s="17" t="str">
        <f t="shared" si="16"/>
        <v/>
      </c>
      <c r="W28" s="14">
        <f t="shared" si="3"/>
        <v>44562</v>
      </c>
      <c r="X28" s="17">
        <f t="shared" si="17"/>
        <v>1398.363054</v>
      </c>
      <c r="Y28" s="17">
        <f t="shared" si="18"/>
        <v>1415.445996</v>
      </c>
      <c r="Z28" s="17">
        <f t="shared" si="19"/>
        <v>1459.458491</v>
      </c>
      <c r="AA28" s="17">
        <f t="shared" si="20"/>
        <v>1405.705975</v>
      </c>
      <c r="AB28" s="17" t="str">
        <f t="shared" si="21"/>
        <v/>
      </c>
      <c r="AD28" s="18">
        <f t="shared" ref="AD28:AE28" si="29">AO5</f>
        <v>44576.48797</v>
      </c>
      <c r="AE28" s="8">
        <f t="shared" si="29"/>
        <v>1607</v>
      </c>
      <c r="AG28" s="14">
        <f t="shared" si="23"/>
        <v>44562</v>
      </c>
      <c r="AH28" s="8">
        <f t="shared" si="24"/>
        <v>128</v>
      </c>
      <c r="AI28" s="8">
        <f t="shared" si="25"/>
        <v>162</v>
      </c>
      <c r="AL28" s="14">
        <f t="shared" si="26"/>
        <v>44562</v>
      </c>
      <c r="AM28" s="8">
        <f t="shared" ref="AM28:AQ28" si="30">AJ5/$E5</f>
        <v>0.8675958188</v>
      </c>
      <c r="AN28" s="8">
        <f t="shared" si="30"/>
        <v>0.08362369338</v>
      </c>
      <c r="AO28" s="8">
        <f t="shared" si="30"/>
        <v>0.03484320557</v>
      </c>
      <c r="AP28" s="8">
        <f t="shared" si="30"/>
        <v>0.01393728223</v>
      </c>
      <c r="AQ28" s="8">
        <f t="shared" si="30"/>
        <v>0</v>
      </c>
    </row>
    <row r="29" ht="14.25" customHeight="1">
      <c r="B29" s="14">
        <f t="shared" si="5"/>
        <v>44593</v>
      </c>
      <c r="C29" s="8">
        <f t="shared" si="6"/>
        <v>166</v>
      </c>
      <c r="E29" s="14">
        <f t="shared" si="7"/>
        <v>44593</v>
      </c>
      <c r="F29" s="15">
        <f t="shared" si="8"/>
        <v>0.5481927711</v>
      </c>
      <c r="G29" s="15">
        <f t="shared" si="9"/>
        <v>0.4518072289</v>
      </c>
      <c r="I29" s="14">
        <f t="shared" si="10"/>
        <v>44593</v>
      </c>
      <c r="J29" s="16">
        <f t="shared" ref="J29:N29" si="31">AJ6/$E6</f>
        <v>0.8373493976</v>
      </c>
      <c r="K29" s="16">
        <f t="shared" si="31"/>
        <v>0.07831325301</v>
      </c>
      <c r="L29" s="16">
        <f t="shared" si="31"/>
        <v>0.04819277108</v>
      </c>
      <c r="M29" s="16">
        <f t="shared" si="31"/>
        <v>0.03614457831</v>
      </c>
      <c r="N29" s="16">
        <f t="shared" si="31"/>
        <v>0</v>
      </c>
      <c r="P29" s="14">
        <f t="shared" si="2"/>
        <v>44593</v>
      </c>
      <c r="Q29" s="17">
        <f t="shared" si="12"/>
        <v>1248.618657</v>
      </c>
      <c r="R29" s="17">
        <f t="shared" si="13"/>
        <v>1081.529198</v>
      </c>
      <c r="S29" s="17">
        <f t="shared" si="14"/>
        <v>1195.214471</v>
      </c>
      <c r="T29" s="17">
        <f t="shared" si="15"/>
        <v>1133.946628</v>
      </c>
      <c r="U29" s="17" t="str">
        <f t="shared" si="16"/>
        <v/>
      </c>
      <c r="W29" s="14">
        <f t="shared" si="3"/>
        <v>44593</v>
      </c>
      <c r="X29" s="17">
        <f t="shared" si="17"/>
        <v>1417.860673</v>
      </c>
      <c r="Y29" s="17">
        <f t="shared" si="18"/>
        <v>1407.370318</v>
      </c>
      <c r="Z29" s="17">
        <f t="shared" si="19"/>
        <v>1404.630664</v>
      </c>
      <c r="AA29" s="17">
        <f t="shared" si="20"/>
        <v>1408.001996</v>
      </c>
      <c r="AB29" s="17" t="str">
        <f t="shared" si="21"/>
        <v/>
      </c>
      <c r="AD29" s="18">
        <f t="shared" ref="AD29:AE29" si="32">AO6</f>
        <v>44598.49759</v>
      </c>
      <c r="AE29" s="8">
        <f t="shared" si="32"/>
        <v>1593</v>
      </c>
      <c r="AG29" s="14">
        <f t="shared" si="23"/>
        <v>44593</v>
      </c>
      <c r="AH29" s="8">
        <f t="shared" si="24"/>
        <v>176</v>
      </c>
      <c r="AI29" s="8">
        <f t="shared" si="25"/>
        <v>146</v>
      </c>
      <c r="AL29" s="14">
        <f t="shared" si="26"/>
        <v>44593</v>
      </c>
      <c r="AM29" s="8">
        <f t="shared" ref="AM29:AQ29" si="33">AJ6/$E6</f>
        <v>0.8373493976</v>
      </c>
      <c r="AN29" s="8">
        <f t="shared" si="33"/>
        <v>0.07831325301</v>
      </c>
      <c r="AO29" s="8">
        <f t="shared" si="33"/>
        <v>0.04819277108</v>
      </c>
      <c r="AP29" s="8">
        <f t="shared" si="33"/>
        <v>0.03614457831</v>
      </c>
      <c r="AQ29" s="8">
        <f t="shared" si="33"/>
        <v>0</v>
      </c>
    </row>
    <row r="30" ht="14.25" customHeight="1">
      <c r="B30" s="14">
        <f t="shared" si="5"/>
        <v>44621</v>
      </c>
      <c r="C30" s="8">
        <f t="shared" si="6"/>
        <v>466</v>
      </c>
      <c r="E30" s="14">
        <f t="shared" si="7"/>
        <v>44621</v>
      </c>
      <c r="F30" s="15">
        <f t="shared" si="8"/>
        <v>0.6394849785</v>
      </c>
      <c r="G30" s="15">
        <f t="shared" si="9"/>
        <v>0.3605150215</v>
      </c>
      <c r="I30" s="14">
        <f t="shared" si="10"/>
        <v>44621</v>
      </c>
      <c r="J30" s="16">
        <f t="shared" ref="J30:N30" si="34">AJ7/$E7</f>
        <v>0.9120171674</v>
      </c>
      <c r="K30" s="16">
        <f t="shared" si="34"/>
        <v>0.05364806867</v>
      </c>
      <c r="L30" s="16">
        <f t="shared" si="34"/>
        <v>0.02789699571</v>
      </c>
      <c r="M30" s="16">
        <f t="shared" si="34"/>
        <v>0.004291845494</v>
      </c>
      <c r="N30" s="16">
        <f t="shared" si="34"/>
        <v>0.002145922747</v>
      </c>
      <c r="P30" s="14">
        <f t="shared" si="2"/>
        <v>44621</v>
      </c>
      <c r="Q30" s="17">
        <f t="shared" si="12"/>
        <v>1269.321497</v>
      </c>
      <c r="R30" s="17">
        <f t="shared" si="13"/>
        <v>1206.30502</v>
      </c>
      <c r="S30" s="17">
        <f t="shared" si="14"/>
        <v>1245.207585</v>
      </c>
      <c r="T30" s="17">
        <f t="shared" si="15"/>
        <v>1234.491409</v>
      </c>
      <c r="U30" s="17">
        <f t="shared" si="16"/>
        <v>1119.030888</v>
      </c>
      <c r="W30" s="14">
        <f t="shared" si="3"/>
        <v>44621</v>
      </c>
      <c r="X30" s="17">
        <f t="shared" si="17"/>
        <v>1401.114427</v>
      </c>
      <c r="Y30" s="17">
        <f t="shared" si="18"/>
        <v>1423.683572</v>
      </c>
      <c r="Z30" s="17">
        <f t="shared" si="19"/>
        <v>1421.019495</v>
      </c>
      <c r="AA30" s="17" t="str">
        <f t="shared" si="20"/>
        <v/>
      </c>
      <c r="AB30" s="17" t="str">
        <f t="shared" si="21"/>
        <v/>
      </c>
      <c r="AD30" s="18">
        <f t="shared" ref="AD30:AE30" si="35">AO7</f>
        <v>44645.455</v>
      </c>
      <c r="AE30" s="8">
        <f t="shared" si="35"/>
        <v>1569</v>
      </c>
      <c r="AG30" s="14">
        <f t="shared" si="23"/>
        <v>44621</v>
      </c>
      <c r="AH30" s="8">
        <f t="shared" si="24"/>
        <v>259</v>
      </c>
      <c r="AI30" s="8">
        <f t="shared" si="25"/>
        <v>96</v>
      </c>
      <c r="AL30" s="14">
        <f t="shared" si="26"/>
        <v>44621</v>
      </c>
      <c r="AM30" s="8">
        <f t="shared" ref="AM30:AQ30" si="36">AJ7/$E7</f>
        <v>0.9120171674</v>
      </c>
      <c r="AN30" s="8">
        <f t="shared" si="36"/>
        <v>0.05364806867</v>
      </c>
      <c r="AO30" s="8">
        <f t="shared" si="36"/>
        <v>0.02789699571</v>
      </c>
      <c r="AP30" s="8">
        <f t="shared" si="36"/>
        <v>0.004291845494</v>
      </c>
      <c r="AQ30" s="8">
        <f t="shared" si="36"/>
        <v>0.002145922747</v>
      </c>
    </row>
    <row r="31" ht="14.25" customHeight="1">
      <c r="B31" s="14">
        <f t="shared" si="5"/>
        <v>44652</v>
      </c>
      <c r="C31" s="8">
        <f t="shared" si="6"/>
        <v>611</v>
      </c>
      <c r="E31" s="14">
        <f t="shared" si="7"/>
        <v>44652</v>
      </c>
      <c r="F31" s="15">
        <f t="shared" si="8"/>
        <v>0.8461538462</v>
      </c>
      <c r="G31" s="15">
        <f t="shared" si="9"/>
        <v>0.1538461538</v>
      </c>
      <c r="I31" s="14">
        <f t="shared" si="10"/>
        <v>44652</v>
      </c>
      <c r="J31" s="16">
        <f t="shared" ref="J31:N31" si="37">AJ8/$E8</f>
        <v>0.914893617</v>
      </c>
      <c r="K31" s="16">
        <f t="shared" si="37"/>
        <v>0.06873977087</v>
      </c>
      <c r="L31" s="16">
        <f t="shared" si="37"/>
        <v>0.01145662848</v>
      </c>
      <c r="M31" s="16">
        <f t="shared" si="37"/>
        <v>0.001636661211</v>
      </c>
      <c r="N31" s="16">
        <f t="shared" si="37"/>
        <v>0.003273322422</v>
      </c>
      <c r="P31" s="14">
        <f t="shared" si="2"/>
        <v>44652</v>
      </c>
      <c r="Q31" s="17">
        <f t="shared" si="12"/>
        <v>1220.193379</v>
      </c>
      <c r="R31" s="17">
        <f t="shared" si="13"/>
        <v>1253.578847</v>
      </c>
      <c r="S31" s="17">
        <f t="shared" si="14"/>
        <v>1263.493335</v>
      </c>
      <c r="T31" s="17" t="str">
        <f t="shared" si="15"/>
        <v/>
      </c>
      <c r="U31" s="17">
        <f t="shared" si="16"/>
        <v>1153.052147</v>
      </c>
      <c r="W31" s="14">
        <f t="shared" si="3"/>
        <v>44652</v>
      </c>
      <c r="X31" s="17">
        <f t="shared" si="17"/>
        <v>1399.375724</v>
      </c>
      <c r="Y31" s="17">
        <f t="shared" si="18"/>
        <v>1430.660163</v>
      </c>
      <c r="Z31" s="17" t="str">
        <f t="shared" si="19"/>
        <v/>
      </c>
      <c r="AA31" s="17">
        <f t="shared" si="20"/>
        <v>1464.291045</v>
      </c>
      <c r="AB31" s="17">
        <f t="shared" si="21"/>
        <v>1443.360153</v>
      </c>
      <c r="AD31" s="18">
        <f t="shared" ref="AD31:AE31" si="38">AO8</f>
        <v>44663.48424</v>
      </c>
      <c r="AE31" s="8">
        <f t="shared" si="38"/>
        <v>1512</v>
      </c>
      <c r="AG31" s="14">
        <f t="shared" si="23"/>
        <v>44652</v>
      </c>
      <c r="AH31" s="8">
        <f t="shared" si="24"/>
        <v>326</v>
      </c>
      <c r="AI31" s="8">
        <f t="shared" si="25"/>
        <v>261</v>
      </c>
      <c r="AL31" s="14">
        <f t="shared" si="26"/>
        <v>44652</v>
      </c>
      <c r="AM31" s="8">
        <f t="shared" ref="AM31:AQ31" si="39">AJ8/$E8</f>
        <v>0.914893617</v>
      </c>
      <c r="AN31" s="8">
        <f t="shared" si="39"/>
        <v>0.06873977087</v>
      </c>
      <c r="AO31" s="8">
        <f t="shared" si="39"/>
        <v>0.01145662848</v>
      </c>
      <c r="AP31" s="8">
        <f t="shared" si="39"/>
        <v>0.001636661211</v>
      </c>
      <c r="AQ31" s="8">
        <f t="shared" si="39"/>
        <v>0.003273322422</v>
      </c>
    </row>
    <row r="32" ht="14.25" customHeight="1">
      <c r="B32" s="14">
        <f t="shared" si="5"/>
        <v>44682</v>
      </c>
      <c r="C32" s="8">
        <f t="shared" si="6"/>
        <v>466</v>
      </c>
      <c r="E32" s="14">
        <f t="shared" si="7"/>
        <v>44682</v>
      </c>
      <c r="F32" s="15">
        <f t="shared" si="8"/>
        <v>0.9957081545</v>
      </c>
      <c r="G32" s="15">
        <f t="shared" si="9"/>
        <v>0.004291845494</v>
      </c>
      <c r="I32" s="14">
        <f t="shared" si="10"/>
        <v>44682</v>
      </c>
      <c r="J32" s="16">
        <f t="shared" ref="J32:N32" si="40">AJ9/$E9</f>
        <v>0.8991416309</v>
      </c>
      <c r="K32" s="16">
        <f t="shared" si="40"/>
        <v>0.07296137339</v>
      </c>
      <c r="L32" s="16">
        <f t="shared" si="40"/>
        <v>0.01931330472</v>
      </c>
      <c r="M32" s="16">
        <f t="shared" si="40"/>
        <v>0.004291845494</v>
      </c>
      <c r="N32" s="16">
        <f t="shared" si="40"/>
        <v>0.004291845494</v>
      </c>
      <c r="P32" s="14">
        <f t="shared" si="2"/>
        <v>44682</v>
      </c>
      <c r="Q32" s="17">
        <f t="shared" si="12"/>
        <v>1176.630722</v>
      </c>
      <c r="R32" s="17">
        <f t="shared" si="13"/>
        <v>1190.21862</v>
      </c>
      <c r="S32" s="17">
        <f t="shared" si="14"/>
        <v>1196.446143</v>
      </c>
      <c r="T32" s="17">
        <f t="shared" si="15"/>
        <v>1212.124508</v>
      </c>
      <c r="U32" s="17">
        <f t="shared" si="16"/>
        <v>1228.649165</v>
      </c>
      <c r="W32" s="14">
        <f t="shared" si="3"/>
        <v>44682</v>
      </c>
      <c r="X32" s="17">
        <f t="shared" si="17"/>
        <v>1373.636364</v>
      </c>
      <c r="Y32" s="17" t="str">
        <f t="shared" si="18"/>
        <v/>
      </c>
      <c r="Z32" s="17" t="str">
        <f t="shared" si="19"/>
        <v/>
      </c>
      <c r="AA32" s="17" t="str">
        <f t="shared" si="20"/>
        <v/>
      </c>
      <c r="AB32" s="17" t="str">
        <f t="shared" si="21"/>
        <v/>
      </c>
      <c r="AD32" s="18">
        <f t="shared" ref="AD32:AE32" si="41">AO9</f>
        <v>44708.49451</v>
      </c>
      <c r="AE32" s="8">
        <f t="shared" si="41"/>
        <v>1378</v>
      </c>
      <c r="AG32" s="14">
        <f t="shared" si="23"/>
        <v>44682</v>
      </c>
      <c r="AH32" s="8">
        <f t="shared" si="24"/>
        <v>234</v>
      </c>
      <c r="AI32" s="8">
        <f t="shared" si="25"/>
        <v>10</v>
      </c>
      <c r="AL32" s="14">
        <f t="shared" si="26"/>
        <v>44682</v>
      </c>
      <c r="AM32" s="8">
        <f t="shared" ref="AM32:AQ32" si="42">AJ9/$E9</f>
        <v>0.8991416309</v>
      </c>
      <c r="AN32" s="8">
        <f t="shared" si="42"/>
        <v>0.07296137339</v>
      </c>
      <c r="AO32" s="8">
        <f t="shared" si="42"/>
        <v>0.01931330472</v>
      </c>
      <c r="AP32" s="8">
        <f t="shared" si="42"/>
        <v>0.004291845494</v>
      </c>
      <c r="AQ32" s="8">
        <f t="shared" si="42"/>
        <v>0.004291845494</v>
      </c>
    </row>
    <row r="33" ht="14.25" customHeight="1">
      <c r="B33" s="14">
        <f t="shared" si="5"/>
        <v>44713</v>
      </c>
      <c r="C33" s="8">
        <f t="shared" si="6"/>
        <v>517</v>
      </c>
      <c r="E33" s="14">
        <f t="shared" si="7"/>
        <v>44713</v>
      </c>
      <c r="F33" s="15">
        <f t="shared" si="8"/>
        <v>0.998065764</v>
      </c>
      <c r="G33" s="15">
        <f t="shared" si="9"/>
        <v>0.001934235977</v>
      </c>
      <c r="I33" s="14">
        <f t="shared" si="10"/>
        <v>44713</v>
      </c>
      <c r="J33" s="16">
        <f t="shared" ref="J33:N33" si="43">AJ10/$E10</f>
        <v>0.9013539652</v>
      </c>
      <c r="K33" s="16">
        <f t="shared" si="43"/>
        <v>0.06769825919</v>
      </c>
      <c r="L33" s="16">
        <f t="shared" si="43"/>
        <v>0.0251450677</v>
      </c>
      <c r="M33" s="16">
        <f t="shared" si="43"/>
        <v>0.00580270793</v>
      </c>
      <c r="N33" s="16">
        <f t="shared" si="43"/>
        <v>0</v>
      </c>
      <c r="P33" s="14">
        <f t="shared" si="2"/>
        <v>44713</v>
      </c>
      <c r="Q33" s="17">
        <f t="shared" si="12"/>
        <v>1134.592564</v>
      </c>
      <c r="R33" s="17">
        <f t="shared" si="13"/>
        <v>1138.755638</v>
      </c>
      <c r="S33" s="17">
        <f t="shared" si="14"/>
        <v>1185.216546</v>
      </c>
      <c r="T33" s="17">
        <f t="shared" si="15"/>
        <v>1178.207729</v>
      </c>
      <c r="U33" s="17" t="str">
        <f t="shared" si="16"/>
        <v/>
      </c>
      <c r="W33" s="14">
        <f t="shared" si="3"/>
        <v>44713</v>
      </c>
      <c r="X33" s="17">
        <f t="shared" si="17"/>
        <v>1385.666667</v>
      </c>
      <c r="Y33" s="17" t="str">
        <f t="shared" si="18"/>
        <v/>
      </c>
      <c r="Z33" s="17" t="str">
        <f t="shared" si="19"/>
        <v/>
      </c>
      <c r="AA33" s="17" t="str">
        <f t="shared" si="20"/>
        <v/>
      </c>
      <c r="AB33" s="17" t="str">
        <f t="shared" si="21"/>
        <v/>
      </c>
      <c r="AD33" s="18">
        <f t="shared" ref="AD33:AE33" si="44">AO10</f>
        <v>44718.49936</v>
      </c>
      <c r="AE33" s="8">
        <f t="shared" si="44"/>
        <v>1390</v>
      </c>
      <c r="AG33" s="14">
        <f t="shared" si="23"/>
        <v>44713</v>
      </c>
      <c r="AH33" s="8">
        <f t="shared" si="24"/>
        <v>147</v>
      </c>
      <c r="AI33" s="8">
        <f t="shared" si="25"/>
        <v>3</v>
      </c>
      <c r="AL33" s="14">
        <f t="shared" si="26"/>
        <v>44713</v>
      </c>
      <c r="AM33" s="8">
        <f t="shared" ref="AM33:AQ33" si="45">AJ10/$E10</f>
        <v>0.9013539652</v>
      </c>
      <c r="AN33" s="8">
        <f t="shared" si="45"/>
        <v>0.06769825919</v>
      </c>
      <c r="AO33" s="8">
        <f t="shared" si="45"/>
        <v>0.0251450677</v>
      </c>
      <c r="AP33" s="8">
        <f t="shared" si="45"/>
        <v>0.00580270793</v>
      </c>
      <c r="AQ33" s="8">
        <f t="shared" si="45"/>
        <v>0</v>
      </c>
    </row>
    <row r="34" ht="14.25" customHeight="1">
      <c r="B34" s="14">
        <f t="shared" si="5"/>
        <v>44743</v>
      </c>
      <c r="C34" s="8">
        <f t="shared" si="6"/>
        <v>468</v>
      </c>
      <c r="E34" s="14">
        <f t="shared" si="7"/>
        <v>44743</v>
      </c>
      <c r="F34" s="15">
        <f t="shared" si="8"/>
        <v>0.9893162393</v>
      </c>
      <c r="G34" s="15">
        <f t="shared" si="9"/>
        <v>0.01068376068</v>
      </c>
      <c r="I34" s="14">
        <f t="shared" si="10"/>
        <v>44743</v>
      </c>
      <c r="J34" s="16">
        <f t="shared" ref="J34:N34" si="46">AJ11/$E11</f>
        <v>0.8867521368</v>
      </c>
      <c r="K34" s="16">
        <f t="shared" si="46"/>
        <v>0.07905982906</v>
      </c>
      <c r="L34" s="16">
        <f t="shared" si="46"/>
        <v>0.02564102564</v>
      </c>
      <c r="M34" s="16">
        <f t="shared" si="46"/>
        <v>0.008547008547</v>
      </c>
      <c r="N34" s="16">
        <f t="shared" si="46"/>
        <v>0</v>
      </c>
      <c r="P34" s="14">
        <f t="shared" si="2"/>
        <v>44743</v>
      </c>
      <c r="Q34" s="17">
        <f t="shared" si="12"/>
        <v>1143.7239</v>
      </c>
      <c r="R34" s="17">
        <f t="shared" si="13"/>
        <v>1154.669587</v>
      </c>
      <c r="S34" s="17">
        <f t="shared" si="14"/>
        <v>1177.274809</v>
      </c>
      <c r="T34" s="17">
        <f t="shared" si="15"/>
        <v>1127.722168</v>
      </c>
      <c r="U34" s="17" t="str">
        <f t="shared" si="16"/>
        <v/>
      </c>
      <c r="W34" s="14">
        <f t="shared" si="3"/>
        <v>44743</v>
      </c>
      <c r="X34" s="17">
        <f t="shared" si="17"/>
        <v>1409.12406</v>
      </c>
      <c r="Y34" s="17" t="str">
        <f t="shared" si="18"/>
        <v/>
      </c>
      <c r="Z34" s="17" t="str">
        <f t="shared" si="19"/>
        <v/>
      </c>
      <c r="AA34" s="17" t="str">
        <f t="shared" si="20"/>
        <v/>
      </c>
      <c r="AB34" s="17" t="str">
        <f t="shared" si="21"/>
        <v/>
      </c>
      <c r="AD34" s="18">
        <f t="shared" ref="AD34:AE34" si="47">AO11</f>
        <v>44757.50985</v>
      </c>
      <c r="AE34" s="8">
        <f t="shared" si="47"/>
        <v>1500</v>
      </c>
      <c r="AG34" s="14">
        <f t="shared" si="23"/>
        <v>44743</v>
      </c>
      <c r="AH34" s="8">
        <f t="shared" si="24"/>
        <v>160</v>
      </c>
      <c r="AI34" s="8">
        <f t="shared" si="25"/>
        <v>14</v>
      </c>
      <c r="AL34" s="14">
        <f t="shared" si="26"/>
        <v>44743</v>
      </c>
      <c r="AM34" s="8">
        <f t="shared" ref="AM34:AQ34" si="48">AJ11/$E11</f>
        <v>0.8867521368</v>
      </c>
      <c r="AN34" s="8">
        <f t="shared" si="48"/>
        <v>0.07905982906</v>
      </c>
      <c r="AO34" s="8">
        <f t="shared" si="48"/>
        <v>0.02564102564</v>
      </c>
      <c r="AP34" s="8">
        <f t="shared" si="48"/>
        <v>0.008547008547</v>
      </c>
      <c r="AQ34" s="8">
        <f t="shared" si="48"/>
        <v>0</v>
      </c>
    </row>
    <row r="35" ht="14.25" customHeight="1">
      <c r="B35" s="14">
        <f t="shared" si="5"/>
        <v>44774</v>
      </c>
      <c r="C35" s="8">
        <f t="shared" si="6"/>
        <v>768</v>
      </c>
      <c r="E35" s="14">
        <f t="shared" si="7"/>
        <v>44774</v>
      </c>
      <c r="F35" s="15">
        <f t="shared" si="8"/>
        <v>0.8958333333</v>
      </c>
      <c r="G35" s="15">
        <f t="shared" si="9"/>
        <v>0.1041666667</v>
      </c>
      <c r="I35" s="14">
        <f t="shared" si="10"/>
        <v>44774</v>
      </c>
      <c r="J35" s="16">
        <f t="shared" ref="J35:N35" si="49">AJ12/$E12</f>
        <v>0.9114583333</v>
      </c>
      <c r="K35" s="16">
        <f t="shared" si="49"/>
        <v>0.06510416667</v>
      </c>
      <c r="L35" s="16">
        <f t="shared" si="49"/>
        <v>0.01692708333</v>
      </c>
      <c r="M35" s="16">
        <f t="shared" si="49"/>
        <v>0.006510416667</v>
      </c>
      <c r="N35" s="16">
        <f t="shared" si="49"/>
        <v>0</v>
      </c>
      <c r="P35" s="14">
        <f t="shared" si="2"/>
        <v>44774</v>
      </c>
      <c r="Q35" s="17">
        <f t="shared" si="12"/>
        <v>1206.752468</v>
      </c>
      <c r="R35" s="17">
        <f t="shared" si="13"/>
        <v>1222.645565</v>
      </c>
      <c r="S35" s="17">
        <f t="shared" si="14"/>
        <v>1230.669858</v>
      </c>
      <c r="T35" s="17">
        <f t="shared" si="15"/>
        <v>1245.437723</v>
      </c>
      <c r="U35" s="17" t="str">
        <f t="shared" si="16"/>
        <v/>
      </c>
      <c r="W35" s="14">
        <f t="shared" si="3"/>
        <v>44774</v>
      </c>
      <c r="X35" s="17">
        <f t="shared" si="17"/>
        <v>1400.584282</v>
      </c>
      <c r="Y35" s="17">
        <f t="shared" si="18"/>
        <v>1400.364038</v>
      </c>
      <c r="Z35" s="17" t="str">
        <f t="shared" si="19"/>
        <v/>
      </c>
      <c r="AA35" s="17" t="str">
        <f t="shared" si="20"/>
        <v/>
      </c>
      <c r="AB35" s="17" t="str">
        <f t="shared" si="21"/>
        <v/>
      </c>
      <c r="AD35" s="18">
        <f t="shared" ref="AD35:AE35" si="50">AO12</f>
        <v>44804.47874</v>
      </c>
      <c r="AE35" s="8">
        <f t="shared" si="50"/>
        <v>1483</v>
      </c>
      <c r="AG35" s="14">
        <f t="shared" si="23"/>
        <v>44774</v>
      </c>
      <c r="AH35" s="8">
        <f t="shared" si="24"/>
        <v>153</v>
      </c>
      <c r="AI35" s="8">
        <f t="shared" si="25"/>
        <v>52</v>
      </c>
      <c r="AL35" s="14">
        <f t="shared" si="26"/>
        <v>44774</v>
      </c>
      <c r="AM35" s="8">
        <f t="shared" ref="AM35:AQ35" si="51">AJ12/$E12</f>
        <v>0.9114583333</v>
      </c>
      <c r="AN35" s="8">
        <f t="shared" si="51"/>
        <v>0.06510416667</v>
      </c>
      <c r="AO35" s="8">
        <f t="shared" si="51"/>
        <v>0.01692708333</v>
      </c>
      <c r="AP35" s="8">
        <f t="shared" si="51"/>
        <v>0.006510416667</v>
      </c>
      <c r="AQ35" s="8">
        <f t="shared" si="51"/>
        <v>0</v>
      </c>
    </row>
    <row r="36" ht="14.25" customHeight="1">
      <c r="B36" s="14">
        <f t="shared" si="5"/>
        <v>44805</v>
      </c>
      <c r="C36" s="8">
        <f t="shared" si="6"/>
        <v>493</v>
      </c>
      <c r="E36" s="14">
        <f t="shared" si="7"/>
        <v>44805</v>
      </c>
      <c r="F36" s="15">
        <f t="shared" si="8"/>
        <v>0.8498985801</v>
      </c>
      <c r="G36" s="15">
        <f t="shared" si="9"/>
        <v>0.1501014199</v>
      </c>
      <c r="I36" s="14">
        <f t="shared" si="10"/>
        <v>44805</v>
      </c>
      <c r="J36" s="16">
        <f t="shared" ref="J36:N36" si="52">AJ13/$E13</f>
        <v>0.8823529412</v>
      </c>
      <c r="K36" s="16">
        <f t="shared" si="52"/>
        <v>0.07910750507</v>
      </c>
      <c r="L36" s="16">
        <f t="shared" si="52"/>
        <v>0.03245436105</v>
      </c>
      <c r="M36" s="16">
        <f t="shared" si="52"/>
        <v>0.006085192698</v>
      </c>
      <c r="N36" s="16">
        <f t="shared" si="52"/>
        <v>0</v>
      </c>
      <c r="P36" s="14">
        <f t="shared" si="2"/>
        <v>44805</v>
      </c>
      <c r="Q36" s="17">
        <f t="shared" si="12"/>
        <v>1205.932278</v>
      </c>
      <c r="R36" s="17">
        <f t="shared" si="13"/>
        <v>1214.698827</v>
      </c>
      <c r="S36" s="17">
        <f t="shared" si="14"/>
        <v>1208.318296</v>
      </c>
      <c r="T36" s="17">
        <f t="shared" si="15"/>
        <v>1255.461576</v>
      </c>
      <c r="U36" s="17" t="str">
        <f t="shared" si="16"/>
        <v/>
      </c>
      <c r="W36" s="14">
        <f t="shared" si="3"/>
        <v>44805</v>
      </c>
      <c r="X36" s="17">
        <f t="shared" si="17"/>
        <v>1392.992149</v>
      </c>
      <c r="Y36" s="17">
        <f t="shared" si="18"/>
        <v>1441.003263</v>
      </c>
      <c r="Z36" s="17">
        <f t="shared" si="19"/>
        <v>1495.228571</v>
      </c>
      <c r="AA36" s="17" t="str">
        <f t="shared" si="20"/>
        <v/>
      </c>
      <c r="AB36" s="17" t="str">
        <f t="shared" si="21"/>
        <v/>
      </c>
      <c r="AD36" s="18">
        <f t="shared" ref="AD36:AE36" si="53">AO13</f>
        <v>44826.44066</v>
      </c>
      <c r="AE36" s="8">
        <f t="shared" si="53"/>
        <v>1533</v>
      </c>
      <c r="AG36" s="14">
        <f t="shared" si="23"/>
        <v>44805</v>
      </c>
      <c r="AH36" s="8">
        <f t="shared" si="24"/>
        <v>156</v>
      </c>
      <c r="AI36" s="8">
        <f t="shared" si="25"/>
        <v>70</v>
      </c>
      <c r="AL36" s="14">
        <f t="shared" si="26"/>
        <v>44805</v>
      </c>
      <c r="AM36" s="8">
        <f t="shared" ref="AM36:AQ36" si="54">AJ13/$E13</f>
        <v>0.8823529412</v>
      </c>
      <c r="AN36" s="8">
        <f t="shared" si="54"/>
        <v>0.07910750507</v>
      </c>
      <c r="AO36" s="8">
        <f t="shared" si="54"/>
        <v>0.03245436105</v>
      </c>
      <c r="AP36" s="8">
        <f t="shared" si="54"/>
        <v>0.006085192698</v>
      </c>
      <c r="AQ36" s="8">
        <f t="shared" si="54"/>
        <v>0</v>
      </c>
    </row>
    <row r="37" ht="14.25" customHeight="1">
      <c r="B37" s="14">
        <f t="shared" si="5"/>
        <v>44835</v>
      </c>
      <c r="C37" s="8">
        <f t="shared" si="6"/>
        <v>182</v>
      </c>
      <c r="E37" s="14">
        <f t="shared" si="7"/>
        <v>44835</v>
      </c>
      <c r="F37" s="15">
        <f t="shared" si="8"/>
        <v>0.6813186813</v>
      </c>
      <c r="G37" s="15">
        <f t="shared" si="9"/>
        <v>0.3186813187</v>
      </c>
      <c r="I37" s="14">
        <f t="shared" si="10"/>
        <v>44835</v>
      </c>
      <c r="J37" s="16">
        <f t="shared" ref="J37:N37" si="55">AJ14/$E14</f>
        <v>0.8956043956</v>
      </c>
      <c r="K37" s="16">
        <f t="shared" si="55"/>
        <v>0.09340659341</v>
      </c>
      <c r="L37" s="16">
        <f t="shared" si="55"/>
        <v>0.01098901099</v>
      </c>
      <c r="M37" s="16">
        <f t="shared" si="55"/>
        <v>0</v>
      </c>
      <c r="N37" s="16">
        <f t="shared" si="55"/>
        <v>0</v>
      </c>
      <c r="P37" s="14">
        <f t="shared" si="2"/>
        <v>44835</v>
      </c>
      <c r="Q37" s="17">
        <f t="shared" si="12"/>
        <v>1282.531643</v>
      </c>
      <c r="R37" s="17">
        <f t="shared" si="13"/>
        <v>1278.02951</v>
      </c>
      <c r="S37" s="17">
        <f t="shared" si="14"/>
        <v>1048.8</v>
      </c>
      <c r="T37" s="17" t="str">
        <f t="shared" si="15"/>
        <v/>
      </c>
      <c r="U37" s="17" t="str">
        <f t="shared" si="16"/>
        <v/>
      </c>
      <c r="W37" s="14">
        <f t="shared" si="3"/>
        <v>44835</v>
      </c>
      <c r="X37" s="17">
        <f t="shared" si="17"/>
        <v>1390.330247</v>
      </c>
      <c r="Y37" s="17">
        <f t="shared" si="18"/>
        <v>1409.180952</v>
      </c>
      <c r="Z37" s="17">
        <f t="shared" si="19"/>
        <v>1410.5</v>
      </c>
      <c r="AA37" s="17" t="str">
        <f t="shared" si="20"/>
        <v/>
      </c>
      <c r="AB37" s="17" t="str">
        <f t="shared" si="21"/>
        <v/>
      </c>
      <c r="AD37" s="18">
        <f t="shared" ref="AD37:AE37" si="56">AO14</f>
        <v>44858.45904</v>
      </c>
      <c r="AE37" s="8">
        <f t="shared" si="56"/>
        <v>1515</v>
      </c>
      <c r="AG37" s="14">
        <f t="shared" si="23"/>
        <v>44835</v>
      </c>
      <c r="AH37" s="8">
        <f t="shared" si="24"/>
        <v>85</v>
      </c>
      <c r="AI37" s="8">
        <f t="shared" si="25"/>
        <v>76</v>
      </c>
      <c r="AL37" s="14">
        <f t="shared" si="26"/>
        <v>44835</v>
      </c>
      <c r="AM37" s="8">
        <f t="shared" ref="AM37:AQ37" si="57">AJ14/$E14</f>
        <v>0.8956043956</v>
      </c>
      <c r="AN37" s="8">
        <f t="shared" si="57"/>
        <v>0.09340659341</v>
      </c>
      <c r="AO37" s="8">
        <f t="shared" si="57"/>
        <v>0.01098901099</v>
      </c>
      <c r="AP37" s="8">
        <f t="shared" si="57"/>
        <v>0</v>
      </c>
      <c r="AQ37" s="8">
        <f t="shared" si="57"/>
        <v>0</v>
      </c>
    </row>
    <row r="38" ht="14.25" customHeight="1">
      <c r="A38" s="6"/>
      <c r="B38" s="14">
        <f t="shared" si="5"/>
        <v>44866</v>
      </c>
      <c r="C38" s="6">
        <f t="shared" si="6"/>
        <v>337</v>
      </c>
      <c r="D38" s="6"/>
      <c r="E38" s="14">
        <f t="shared" si="7"/>
        <v>44866</v>
      </c>
      <c r="F38" s="15">
        <f t="shared" si="8"/>
        <v>0.6735905045</v>
      </c>
      <c r="G38" s="15">
        <f t="shared" si="9"/>
        <v>0.3264094955</v>
      </c>
      <c r="H38" s="6"/>
      <c r="I38" s="14">
        <f t="shared" si="10"/>
        <v>44866</v>
      </c>
      <c r="J38" s="16">
        <f t="shared" ref="J38:N38" si="58">AJ15/$E15</f>
        <v>0.821958457</v>
      </c>
      <c r="K38" s="16">
        <f t="shared" si="58"/>
        <v>0.09198813056</v>
      </c>
      <c r="L38" s="16">
        <f t="shared" si="58"/>
        <v>0.07121661721</v>
      </c>
      <c r="M38" s="16">
        <f t="shared" si="58"/>
        <v>0.0118694362</v>
      </c>
      <c r="N38" s="16">
        <f t="shared" si="58"/>
        <v>0.00296735905</v>
      </c>
      <c r="O38" s="6"/>
      <c r="P38" s="14">
        <f t="shared" si="2"/>
        <v>44866</v>
      </c>
      <c r="Q38" s="17">
        <f t="shared" si="12"/>
        <v>1234.567329</v>
      </c>
      <c r="R38" s="17">
        <f t="shared" si="13"/>
        <v>1183.39717</v>
      </c>
      <c r="S38" s="17">
        <f t="shared" si="14"/>
        <v>1152.201493</v>
      </c>
      <c r="T38" s="17">
        <f t="shared" si="15"/>
        <v>1260.44159</v>
      </c>
      <c r="U38" s="17">
        <f t="shared" si="16"/>
        <v>1270.672131</v>
      </c>
      <c r="V38" s="6"/>
      <c r="W38" s="14">
        <f t="shared" si="3"/>
        <v>44866</v>
      </c>
      <c r="X38" s="17">
        <f t="shared" si="17"/>
        <v>1419.87542</v>
      </c>
      <c r="Y38" s="17">
        <f t="shared" si="18"/>
        <v>1428.26877</v>
      </c>
      <c r="Z38" s="17">
        <f t="shared" si="19"/>
        <v>1421.059284</v>
      </c>
      <c r="AA38" s="17" t="str">
        <f t="shared" si="20"/>
        <v/>
      </c>
      <c r="AB38" s="17" t="str">
        <f t="shared" si="21"/>
        <v/>
      </c>
      <c r="AC38" s="6"/>
      <c r="AD38" s="18">
        <f t="shared" ref="AD38:AE38" si="59">AO15</f>
        <v>44870.50329</v>
      </c>
      <c r="AE38" s="6">
        <f t="shared" si="59"/>
        <v>1654</v>
      </c>
      <c r="AF38" s="6"/>
      <c r="AG38" s="14">
        <f t="shared" si="23"/>
        <v>44866</v>
      </c>
      <c r="AH38" s="6">
        <f t="shared" si="24"/>
        <v>498</v>
      </c>
      <c r="AI38" s="6">
        <f t="shared" si="25"/>
        <v>108</v>
      </c>
      <c r="AJ38" s="6"/>
      <c r="AK38" s="6"/>
      <c r="AL38" s="14">
        <f t="shared" si="26"/>
        <v>44866</v>
      </c>
      <c r="AM38" s="6">
        <f t="shared" ref="AM38:AQ38" si="60">AJ15/$E15</f>
        <v>0.821958457</v>
      </c>
      <c r="AN38" s="6">
        <f t="shared" si="60"/>
        <v>0.09198813056</v>
      </c>
      <c r="AO38" s="6">
        <f t="shared" si="60"/>
        <v>0.07121661721</v>
      </c>
      <c r="AP38" s="6">
        <f t="shared" si="60"/>
        <v>0.0118694362</v>
      </c>
      <c r="AQ38" s="6">
        <f t="shared" si="60"/>
        <v>0.00296735905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ht="14.25" customHeight="1">
      <c r="A39" s="6"/>
      <c r="B39" s="14">
        <f t="shared" si="5"/>
        <v>44896</v>
      </c>
      <c r="C39" s="6">
        <f t="shared" si="6"/>
        <v>288</v>
      </c>
      <c r="D39" s="6"/>
      <c r="E39" s="14">
        <f t="shared" si="7"/>
        <v>44896</v>
      </c>
      <c r="F39" s="15">
        <f t="shared" si="8"/>
        <v>0.7847222222</v>
      </c>
      <c r="G39" s="15">
        <f t="shared" si="9"/>
        <v>0.2152777778</v>
      </c>
      <c r="H39" s="6"/>
      <c r="I39" s="14">
        <f t="shared" si="10"/>
        <v>44896</v>
      </c>
      <c r="J39" s="16">
        <f t="shared" ref="J39:N39" si="61">AJ16/$E16</f>
        <v>0.8993055556</v>
      </c>
      <c r="K39" s="16">
        <f t="shared" si="61"/>
        <v>0.03819444444</v>
      </c>
      <c r="L39" s="16">
        <f t="shared" si="61"/>
        <v>0.03819444444</v>
      </c>
      <c r="M39" s="16">
        <f t="shared" si="61"/>
        <v>0.02430555556</v>
      </c>
      <c r="N39" s="16">
        <f t="shared" si="61"/>
        <v>0</v>
      </c>
      <c r="O39" s="6"/>
      <c r="P39" s="14">
        <f t="shared" si="2"/>
        <v>44896</v>
      </c>
      <c r="Q39" s="17">
        <f t="shared" si="12"/>
        <v>1230.285721</v>
      </c>
      <c r="R39" s="17">
        <f t="shared" si="13"/>
        <v>1214.147412</v>
      </c>
      <c r="S39" s="17">
        <f t="shared" si="14"/>
        <v>1271.476951</v>
      </c>
      <c r="T39" s="17">
        <f t="shared" si="15"/>
        <v>1140.698442</v>
      </c>
      <c r="U39" s="17" t="str">
        <f t="shared" si="16"/>
        <v/>
      </c>
      <c r="V39" s="6"/>
      <c r="W39" s="14">
        <f t="shared" si="3"/>
        <v>44896</v>
      </c>
      <c r="X39" s="17">
        <f t="shared" si="17"/>
        <v>1400.21221</v>
      </c>
      <c r="Y39" s="17">
        <f t="shared" si="18"/>
        <v>1408.515598</v>
      </c>
      <c r="Z39" s="17">
        <f t="shared" si="19"/>
        <v>1396.475875</v>
      </c>
      <c r="AA39" s="17">
        <f t="shared" si="20"/>
        <v>1394.447842</v>
      </c>
      <c r="AB39" s="17" t="str">
        <f t="shared" si="21"/>
        <v/>
      </c>
      <c r="AC39" s="6"/>
      <c r="AD39" s="18">
        <f t="shared" ref="AD39:AE39" si="62">AO16</f>
        <v>44900.48584</v>
      </c>
      <c r="AE39" s="6">
        <f t="shared" si="62"/>
        <v>1575</v>
      </c>
      <c r="AF39" s="6"/>
      <c r="AG39" s="14">
        <f t="shared" si="23"/>
        <v>44896</v>
      </c>
      <c r="AH39" s="6">
        <f t="shared" si="24"/>
        <v>155</v>
      </c>
      <c r="AI39" s="6">
        <f t="shared" si="25"/>
        <v>169</v>
      </c>
      <c r="AJ39" s="6"/>
      <c r="AK39" s="6"/>
      <c r="AL39" s="14">
        <f t="shared" si="26"/>
        <v>44896</v>
      </c>
      <c r="AM39" s="6">
        <f t="shared" ref="AM39:AQ39" si="63">AJ16/$E16</f>
        <v>0.8993055556</v>
      </c>
      <c r="AN39" s="6">
        <f t="shared" si="63"/>
        <v>0.03819444444</v>
      </c>
      <c r="AO39" s="6">
        <f t="shared" si="63"/>
        <v>0.03819444444</v>
      </c>
      <c r="AP39" s="6">
        <f t="shared" si="63"/>
        <v>0.02430555556</v>
      </c>
      <c r="AQ39" s="6">
        <f t="shared" si="63"/>
        <v>0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ht="14.25" customHeight="1">
      <c r="A40" s="6"/>
      <c r="B40" s="14">
        <f t="shared" si="5"/>
        <v>44927</v>
      </c>
      <c r="C40" s="6">
        <f t="shared" si="6"/>
        <v>86</v>
      </c>
      <c r="D40" s="6"/>
      <c r="E40" s="14">
        <f t="shared" si="7"/>
        <v>44927</v>
      </c>
      <c r="F40" s="15">
        <f t="shared" si="8"/>
        <v>0.8023255814</v>
      </c>
      <c r="G40" s="15">
        <f t="shared" si="9"/>
        <v>0.1976744186</v>
      </c>
      <c r="H40" s="6"/>
      <c r="I40" s="14">
        <f t="shared" si="10"/>
        <v>44927</v>
      </c>
      <c r="J40" s="16">
        <f t="shared" ref="J40:N40" si="64">AJ17/$E17</f>
        <v>0.9302325581</v>
      </c>
      <c r="K40" s="16">
        <f t="shared" si="64"/>
        <v>0.04651162791</v>
      </c>
      <c r="L40" s="16">
        <f t="shared" si="64"/>
        <v>0.02325581395</v>
      </c>
      <c r="M40" s="16">
        <f t="shared" si="64"/>
        <v>0</v>
      </c>
      <c r="N40" s="16">
        <f t="shared" si="64"/>
        <v>0</v>
      </c>
      <c r="O40" s="6"/>
      <c r="P40" s="14">
        <f t="shared" si="2"/>
        <v>44927</v>
      </c>
      <c r="Q40" s="17">
        <f t="shared" si="12"/>
        <v>1235.583291</v>
      </c>
      <c r="R40" s="17">
        <f t="shared" si="13"/>
        <v>1255.926319</v>
      </c>
      <c r="S40" s="17">
        <f t="shared" si="14"/>
        <v>1309.82243</v>
      </c>
      <c r="T40" s="17" t="str">
        <f t="shared" si="15"/>
        <v/>
      </c>
      <c r="U40" s="17" t="str">
        <f t="shared" si="16"/>
        <v/>
      </c>
      <c r="V40" s="6"/>
      <c r="W40" s="14">
        <f t="shared" si="3"/>
        <v>44927</v>
      </c>
      <c r="X40" s="17">
        <f t="shared" si="17"/>
        <v>1380.40254</v>
      </c>
      <c r="Y40" s="17" t="str">
        <f t="shared" si="18"/>
        <v/>
      </c>
      <c r="Z40" s="17">
        <f t="shared" si="19"/>
        <v>1385.774194</v>
      </c>
      <c r="AA40" s="17" t="str">
        <f t="shared" si="20"/>
        <v/>
      </c>
      <c r="AB40" s="17" t="str">
        <f t="shared" si="21"/>
        <v/>
      </c>
      <c r="AC40" s="6"/>
      <c r="AD40" s="18">
        <f t="shared" ref="AD40:AE40" si="65">AO17</f>
        <v>44954.44868</v>
      </c>
      <c r="AE40" s="6">
        <f t="shared" si="65"/>
        <v>1408</v>
      </c>
      <c r="AF40" s="6"/>
      <c r="AG40" s="14">
        <f t="shared" si="23"/>
        <v>44927</v>
      </c>
      <c r="AH40" s="6">
        <f t="shared" si="24"/>
        <v>107</v>
      </c>
      <c r="AI40" s="6">
        <f t="shared" si="25"/>
        <v>62</v>
      </c>
      <c r="AJ40" s="6"/>
      <c r="AK40" s="6"/>
      <c r="AL40" s="14">
        <f t="shared" si="26"/>
        <v>44927</v>
      </c>
      <c r="AM40" s="6">
        <f t="shared" ref="AM40:AQ40" si="66">AJ17/$E17</f>
        <v>0.9302325581</v>
      </c>
      <c r="AN40" s="6">
        <f t="shared" si="66"/>
        <v>0.04651162791</v>
      </c>
      <c r="AO40" s="6">
        <f t="shared" si="66"/>
        <v>0.02325581395</v>
      </c>
      <c r="AP40" s="6">
        <f t="shared" si="66"/>
        <v>0</v>
      </c>
      <c r="AQ40" s="6">
        <f t="shared" si="66"/>
        <v>0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ht="14.25" customHeight="1">
      <c r="A41" s="6"/>
      <c r="B41" s="14">
        <f t="shared" si="5"/>
        <v>44958</v>
      </c>
      <c r="C41" s="6">
        <f t="shared" si="6"/>
        <v>211</v>
      </c>
      <c r="D41" s="6"/>
      <c r="E41" s="14">
        <f t="shared" si="7"/>
        <v>44958</v>
      </c>
      <c r="F41" s="15">
        <f t="shared" si="8"/>
        <v>0.5213270142</v>
      </c>
      <c r="G41" s="15">
        <f t="shared" si="9"/>
        <v>0.4786729858</v>
      </c>
      <c r="H41" s="6"/>
      <c r="I41" s="14">
        <f t="shared" si="10"/>
        <v>44958</v>
      </c>
      <c r="J41" s="16">
        <f t="shared" ref="J41:N41" si="67">AJ18/$E18</f>
        <v>0.9099526066</v>
      </c>
      <c r="K41" s="16">
        <f t="shared" si="67"/>
        <v>0.05687203791</v>
      </c>
      <c r="L41" s="16">
        <f t="shared" si="67"/>
        <v>0.01895734597</v>
      </c>
      <c r="M41" s="16">
        <f t="shared" si="67"/>
        <v>0.004739336493</v>
      </c>
      <c r="N41" s="16">
        <f t="shared" si="67"/>
        <v>0.009478672986</v>
      </c>
      <c r="O41" s="6"/>
      <c r="P41" s="14">
        <f t="shared" si="2"/>
        <v>44958</v>
      </c>
      <c r="Q41" s="17">
        <f t="shared" si="12"/>
        <v>1267.609599</v>
      </c>
      <c r="R41" s="17">
        <f t="shared" si="13"/>
        <v>1224.729369</v>
      </c>
      <c r="S41" s="17">
        <f t="shared" si="14"/>
        <v>1288.277015</v>
      </c>
      <c r="T41" s="17" t="str">
        <f t="shared" si="15"/>
        <v/>
      </c>
      <c r="U41" s="17">
        <f t="shared" si="16"/>
        <v>1193.470357</v>
      </c>
      <c r="V41" s="6"/>
      <c r="W41" s="14">
        <f t="shared" si="3"/>
        <v>44958</v>
      </c>
      <c r="X41" s="17">
        <f t="shared" si="17"/>
        <v>1407.831259</v>
      </c>
      <c r="Y41" s="17">
        <f t="shared" si="18"/>
        <v>1417.831091</v>
      </c>
      <c r="Z41" s="17">
        <f t="shared" si="19"/>
        <v>1412.947368</v>
      </c>
      <c r="AA41" s="17">
        <f t="shared" si="20"/>
        <v>1440.397163</v>
      </c>
      <c r="AB41" s="17" t="str">
        <f t="shared" si="21"/>
        <v/>
      </c>
      <c r="AC41" s="6"/>
      <c r="AD41" s="18">
        <f t="shared" ref="AD41:AE41" si="68">AO18</f>
        <v>44979.51935</v>
      </c>
      <c r="AE41" s="6">
        <f t="shared" si="68"/>
        <v>1558</v>
      </c>
      <c r="AF41" s="6"/>
      <c r="AG41" s="14">
        <f t="shared" si="23"/>
        <v>44958</v>
      </c>
      <c r="AH41" s="6">
        <f t="shared" si="24"/>
        <v>120</v>
      </c>
      <c r="AI41" s="6">
        <f t="shared" si="25"/>
        <v>141</v>
      </c>
      <c r="AJ41" s="6"/>
      <c r="AK41" s="6"/>
      <c r="AL41" s="14">
        <f t="shared" si="26"/>
        <v>44958</v>
      </c>
      <c r="AM41" s="6">
        <f t="shared" ref="AM41:AQ41" si="69">AJ18/$E18</f>
        <v>0.9099526066</v>
      </c>
      <c r="AN41" s="6">
        <f t="shared" si="69"/>
        <v>0.05687203791</v>
      </c>
      <c r="AO41" s="6">
        <f t="shared" si="69"/>
        <v>0.01895734597</v>
      </c>
      <c r="AP41" s="6">
        <f t="shared" si="69"/>
        <v>0.004739336493</v>
      </c>
      <c r="AQ41" s="6">
        <f t="shared" si="69"/>
        <v>0.009478672986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ht="14.25" customHeight="1">
      <c r="A42" s="6"/>
      <c r="B42" s="14">
        <f t="shared" si="5"/>
        <v>44986</v>
      </c>
      <c r="C42" s="6">
        <f t="shared" si="6"/>
        <v>339</v>
      </c>
      <c r="D42" s="6"/>
      <c r="E42" s="14">
        <f t="shared" si="7"/>
        <v>44986</v>
      </c>
      <c r="F42" s="15">
        <f t="shared" si="8"/>
        <v>0.7581120944</v>
      </c>
      <c r="G42" s="15">
        <f t="shared" si="9"/>
        <v>0.2418879056</v>
      </c>
      <c r="H42" s="6"/>
      <c r="I42" s="14">
        <f t="shared" si="10"/>
        <v>44986</v>
      </c>
      <c r="J42" s="16">
        <f t="shared" ref="J42:N42" si="70">AJ19/$E19</f>
        <v>0.8849557522</v>
      </c>
      <c r="K42" s="16">
        <f t="shared" si="70"/>
        <v>0.07079646018</v>
      </c>
      <c r="L42" s="16">
        <f t="shared" si="70"/>
        <v>0.0383480826</v>
      </c>
      <c r="M42" s="16">
        <f t="shared" si="70"/>
        <v>0.002949852507</v>
      </c>
      <c r="N42" s="16">
        <f t="shared" si="70"/>
        <v>0.002949852507</v>
      </c>
      <c r="O42" s="6"/>
      <c r="P42" s="14">
        <f t="shared" si="2"/>
        <v>44986</v>
      </c>
      <c r="Q42" s="17">
        <f t="shared" si="12"/>
        <v>1268.951789</v>
      </c>
      <c r="R42" s="17">
        <f t="shared" si="13"/>
        <v>1209.560402</v>
      </c>
      <c r="S42" s="17">
        <f t="shared" si="14"/>
        <v>1255.061391</v>
      </c>
      <c r="T42" s="17" t="str">
        <f t="shared" si="15"/>
        <v/>
      </c>
      <c r="U42" s="17">
        <f t="shared" si="16"/>
        <v>1175.235897</v>
      </c>
      <c r="V42" s="6"/>
      <c r="W42" s="14">
        <f t="shared" si="3"/>
        <v>44986</v>
      </c>
      <c r="X42" s="17">
        <f t="shared" si="17"/>
        <v>1409.512371</v>
      </c>
      <c r="Y42" s="17">
        <f t="shared" si="18"/>
        <v>1409.070511</v>
      </c>
      <c r="Z42" s="17">
        <f t="shared" si="19"/>
        <v>1439.441993</v>
      </c>
      <c r="AA42" s="17">
        <f t="shared" si="20"/>
        <v>1388.402878</v>
      </c>
      <c r="AB42" s="17" t="str">
        <f t="shared" si="21"/>
        <v/>
      </c>
      <c r="AC42" s="6"/>
      <c r="AD42" s="18">
        <f t="shared" ref="AD42:AE42" si="71">AO19</f>
        <v>45010.50479</v>
      </c>
      <c r="AE42" s="6">
        <f t="shared" si="71"/>
        <v>1566</v>
      </c>
      <c r="AF42" s="6"/>
      <c r="AG42" s="14">
        <f t="shared" si="23"/>
        <v>44986</v>
      </c>
      <c r="AH42" s="6">
        <f t="shared" si="24"/>
        <v>195</v>
      </c>
      <c r="AI42" s="6">
        <f t="shared" si="25"/>
        <v>139</v>
      </c>
      <c r="AJ42" s="6"/>
      <c r="AK42" s="6"/>
      <c r="AL42" s="14">
        <f t="shared" si="26"/>
        <v>44986</v>
      </c>
      <c r="AM42" s="6">
        <f t="shared" ref="AM42:AQ42" si="72">AJ19/$E19</f>
        <v>0.8849557522</v>
      </c>
      <c r="AN42" s="6">
        <f t="shared" si="72"/>
        <v>0.07079646018</v>
      </c>
      <c r="AO42" s="6">
        <f t="shared" si="72"/>
        <v>0.0383480826</v>
      </c>
      <c r="AP42" s="6">
        <f t="shared" si="72"/>
        <v>0.002949852507</v>
      </c>
      <c r="AQ42" s="6">
        <f t="shared" si="72"/>
        <v>0.002949852507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ht="14.25" customHeight="1">
      <c r="A43" s="6"/>
      <c r="B43" s="14"/>
      <c r="C43" s="6"/>
      <c r="D43" s="6"/>
      <c r="E43" s="14"/>
      <c r="F43" s="15"/>
      <c r="G43" s="15"/>
      <c r="H43" s="6"/>
      <c r="I43" s="14"/>
      <c r="J43" s="16"/>
      <c r="K43" s="16"/>
      <c r="L43" s="16"/>
      <c r="M43" s="16"/>
      <c r="N43" s="16"/>
      <c r="O43" s="6"/>
      <c r="P43" s="14"/>
      <c r="Q43" s="17"/>
      <c r="R43" s="17"/>
      <c r="S43" s="17"/>
      <c r="T43" s="17"/>
      <c r="U43" s="17"/>
      <c r="V43" s="6"/>
      <c r="W43" s="14"/>
      <c r="X43" s="17"/>
      <c r="Y43" s="17"/>
      <c r="Z43" s="17"/>
      <c r="AA43" s="17"/>
      <c r="AB43" s="17"/>
      <c r="AC43" s="6"/>
      <c r="AD43" s="18"/>
      <c r="AE43" s="6"/>
      <c r="AF43" s="6"/>
      <c r="AG43" s="14"/>
      <c r="AH43" s="6"/>
      <c r="AI43" s="6"/>
      <c r="AJ43" s="6"/>
      <c r="AK43" s="6"/>
      <c r="AL43" s="14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ht="14.25" customHeight="1">
      <c r="B44" s="14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71"/>
    <col customWidth="1" min="3" max="5" width="10.71"/>
    <col customWidth="1" min="6" max="42" width="12.71"/>
    <col customWidth="1" min="43" max="43" width="15.71"/>
    <col customWidth="1" min="44" max="50" width="12.71"/>
    <col customWidth="1" min="51" max="61" width="8.86"/>
  </cols>
  <sheetData>
    <row r="1" ht="14.25" customHeight="1">
      <c r="A1" s="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114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N2" s="4" t="s">
        <v>12</v>
      </c>
      <c r="O2" s="3" t="s">
        <v>13</v>
      </c>
      <c r="P2" s="3" t="s">
        <v>14</v>
      </c>
      <c r="Q2" s="3" t="s">
        <v>15</v>
      </c>
      <c r="R2" s="4" t="s">
        <v>16</v>
      </c>
      <c r="S2" s="4" t="s">
        <v>17</v>
      </c>
      <c r="T2" s="4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  <c r="AA2" s="3" t="s">
        <v>25</v>
      </c>
      <c r="AB2" s="3" t="s">
        <v>26</v>
      </c>
      <c r="AC2" s="3" t="s">
        <v>27</v>
      </c>
      <c r="AD2" s="4" t="s">
        <v>28</v>
      </c>
      <c r="AE2" s="4" t="s">
        <v>29</v>
      </c>
      <c r="AF2" s="4" t="s">
        <v>30</v>
      </c>
      <c r="AG2" s="3" t="s">
        <v>31</v>
      </c>
      <c r="AH2" s="3" t="s">
        <v>32</v>
      </c>
      <c r="AI2" s="3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3" t="s">
        <v>39</v>
      </c>
      <c r="AP2" s="3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3" t="s">
        <v>45</v>
      </c>
      <c r="AV2" s="3" t="s">
        <v>46</v>
      </c>
      <c r="AW2" s="3" t="s">
        <v>43</v>
      </c>
      <c r="AX2" s="3" t="s">
        <v>44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4.25" customHeight="1">
      <c r="A3" s="6"/>
      <c r="B3" s="5">
        <v>44501.0</v>
      </c>
      <c r="C3" s="6">
        <v>31.0</v>
      </c>
      <c r="D3" s="6">
        <v>1.0</v>
      </c>
      <c r="E3" s="6">
        <v>32.0</v>
      </c>
      <c r="F3" s="6">
        <v>28.0</v>
      </c>
      <c r="G3" s="7">
        <v>1228.0224007936508</v>
      </c>
      <c r="H3" s="7">
        <v>1365.0</v>
      </c>
      <c r="I3" s="6">
        <v>3.0</v>
      </c>
      <c r="J3" s="7">
        <v>1122.045871559633</v>
      </c>
      <c r="K3" s="7">
        <v>1186.0</v>
      </c>
      <c r="L3" s="6"/>
      <c r="M3" s="7"/>
      <c r="N3" s="7"/>
      <c r="O3" s="6"/>
      <c r="P3" s="7"/>
      <c r="Q3" s="7"/>
      <c r="R3" s="6"/>
      <c r="S3" s="7"/>
      <c r="T3" s="7"/>
      <c r="U3" s="6">
        <v>1.0</v>
      </c>
      <c r="V3" s="7">
        <v>1367.75</v>
      </c>
      <c r="W3" s="6">
        <v>1368.0</v>
      </c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>
        <v>29.0</v>
      </c>
      <c r="AK3" s="6">
        <v>3.0</v>
      </c>
      <c r="AL3" s="6"/>
      <c r="AM3" s="6"/>
      <c r="AN3" s="6"/>
      <c r="AO3" s="9">
        <v>44515.474386574075</v>
      </c>
      <c r="AP3" s="6">
        <v>1368.0</v>
      </c>
      <c r="AQ3" s="9">
        <v>44516.39</v>
      </c>
      <c r="AR3" s="6">
        <v>45.0</v>
      </c>
      <c r="AS3" s="7">
        <v>1166.9333333333334</v>
      </c>
      <c r="AT3" s="6">
        <v>1186.0</v>
      </c>
      <c r="AU3" s="9">
        <v>44515.47439814815</v>
      </c>
      <c r="AV3" s="6">
        <v>4.0</v>
      </c>
      <c r="AW3" s="10">
        <v>1367.75</v>
      </c>
      <c r="AX3" s="6">
        <v>1368.0</v>
      </c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ht="14.25" customHeight="1">
      <c r="A4" s="6"/>
      <c r="B4" s="5">
        <v>44531.0</v>
      </c>
      <c r="C4" s="6">
        <v>207.0</v>
      </c>
      <c r="D4" s="6">
        <v>53.0</v>
      </c>
      <c r="E4" s="6">
        <v>260.0</v>
      </c>
      <c r="F4" s="6">
        <v>188.0</v>
      </c>
      <c r="G4" s="7">
        <v>1253.7812036864614</v>
      </c>
      <c r="H4" s="7">
        <v>1366.0</v>
      </c>
      <c r="I4" s="6">
        <v>11.0</v>
      </c>
      <c r="J4" s="7">
        <v>1242.4543393283955</v>
      </c>
      <c r="K4" s="7">
        <v>1366.0</v>
      </c>
      <c r="L4" s="6">
        <v>5.0</v>
      </c>
      <c r="M4" s="7">
        <v>1185.709382483565</v>
      </c>
      <c r="N4" s="7">
        <v>1328.0</v>
      </c>
      <c r="O4" s="6">
        <v>2.0</v>
      </c>
      <c r="P4" s="7">
        <v>1334.4212328767123</v>
      </c>
      <c r="Q4" s="7">
        <v>1356.0</v>
      </c>
      <c r="R4" s="6">
        <v>1.0</v>
      </c>
      <c r="S4" s="7">
        <v>1354.461224489796</v>
      </c>
      <c r="T4" s="7">
        <v>1366.0</v>
      </c>
      <c r="U4" s="6">
        <v>50.0</v>
      </c>
      <c r="V4" s="7">
        <v>1400.67698610124</v>
      </c>
      <c r="W4" s="6">
        <v>1613.0</v>
      </c>
      <c r="X4" s="6">
        <v>3.0</v>
      </c>
      <c r="Y4" s="7">
        <v>1389.2916666666665</v>
      </c>
      <c r="Z4" s="6">
        <v>1440.0</v>
      </c>
      <c r="AA4" s="6"/>
      <c r="AB4" s="6"/>
      <c r="AC4" s="6"/>
      <c r="AD4" s="6"/>
      <c r="AE4" s="6"/>
      <c r="AF4" s="6"/>
      <c r="AG4" s="6"/>
      <c r="AH4" s="6"/>
      <c r="AI4" s="6"/>
      <c r="AJ4" s="6">
        <v>238.0</v>
      </c>
      <c r="AK4" s="6">
        <v>14.0</v>
      </c>
      <c r="AL4" s="6">
        <v>5.0</v>
      </c>
      <c r="AM4" s="6">
        <v>2.0</v>
      </c>
      <c r="AN4" s="6">
        <v>1.0</v>
      </c>
      <c r="AO4" s="9">
        <v>44544.45415509259</v>
      </c>
      <c r="AP4" s="6">
        <v>1613.0</v>
      </c>
      <c r="AQ4" s="9">
        <v>44561.520474537036</v>
      </c>
      <c r="AR4" s="6">
        <v>245.0</v>
      </c>
      <c r="AS4" s="7">
        <v>1354.461224489796</v>
      </c>
      <c r="AT4" s="6">
        <v>1366.0</v>
      </c>
      <c r="AU4" s="9">
        <v>44538.466516203705</v>
      </c>
      <c r="AV4" s="6">
        <v>40.0</v>
      </c>
      <c r="AW4" s="10">
        <v>1377.0</v>
      </c>
      <c r="AX4" s="6">
        <v>1385.0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ht="14.25" customHeight="1">
      <c r="A5" s="6"/>
      <c r="B5" s="5">
        <v>44562.0</v>
      </c>
      <c r="C5" s="6">
        <v>136.0</v>
      </c>
      <c r="D5" s="6">
        <v>95.0</v>
      </c>
      <c r="E5" s="6">
        <v>231.0</v>
      </c>
      <c r="F5" s="6">
        <v>124.0</v>
      </c>
      <c r="G5" s="7">
        <v>1285.925199003827</v>
      </c>
      <c r="H5" s="7">
        <v>1366.0</v>
      </c>
      <c r="I5" s="6">
        <v>8.0</v>
      </c>
      <c r="J5" s="7">
        <v>1268.6336487050962</v>
      </c>
      <c r="K5" s="7">
        <v>1366.0</v>
      </c>
      <c r="L5" s="6">
        <v>4.0</v>
      </c>
      <c r="M5" s="7">
        <v>1172.9858219678872</v>
      </c>
      <c r="N5" s="7">
        <v>1355.0</v>
      </c>
      <c r="O5" s="6"/>
      <c r="P5" s="7"/>
      <c r="Q5" s="7"/>
      <c r="R5" s="6"/>
      <c r="S5" s="7"/>
      <c r="T5" s="7"/>
      <c r="U5" s="6">
        <v>80.0</v>
      </c>
      <c r="V5" s="7">
        <v>1399.4638585746534</v>
      </c>
      <c r="W5" s="6">
        <v>1570.0</v>
      </c>
      <c r="X5" s="6">
        <v>12.0</v>
      </c>
      <c r="Y5" s="7">
        <v>1410.569526051574</v>
      </c>
      <c r="Z5" s="6">
        <v>1573.0</v>
      </c>
      <c r="AA5" s="6">
        <v>3.0</v>
      </c>
      <c r="AB5" s="6">
        <v>1465.2853769471021</v>
      </c>
      <c r="AC5" s="6">
        <v>1543.0</v>
      </c>
      <c r="AD5" s="6"/>
      <c r="AE5" s="6"/>
      <c r="AF5" s="6"/>
      <c r="AG5" s="6"/>
      <c r="AH5" s="6"/>
      <c r="AI5" s="6"/>
      <c r="AJ5" s="6">
        <v>204.0</v>
      </c>
      <c r="AK5" s="6">
        <v>20.0</v>
      </c>
      <c r="AL5" s="6">
        <v>7.0</v>
      </c>
      <c r="AM5" s="6"/>
      <c r="AN5" s="6"/>
      <c r="AO5" s="9">
        <v>44576.487962962965</v>
      </c>
      <c r="AP5" s="6">
        <v>1573.0</v>
      </c>
      <c r="AQ5" s="9">
        <v>44577.52481481482</v>
      </c>
      <c r="AR5" s="6">
        <v>105.0</v>
      </c>
      <c r="AS5" s="7">
        <v>1345.4761904761904</v>
      </c>
      <c r="AT5" s="6">
        <v>1355.0</v>
      </c>
      <c r="AU5" s="9">
        <v>44569.433541666665</v>
      </c>
      <c r="AV5" s="6">
        <v>106.0</v>
      </c>
      <c r="AW5" s="10">
        <v>1469.688679245283</v>
      </c>
      <c r="AX5" s="6">
        <v>1516.0</v>
      </c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ht="14.25" customHeight="1">
      <c r="A6" s="6"/>
      <c r="B6" s="5">
        <v>44593.0</v>
      </c>
      <c r="C6" s="6">
        <v>68.0</v>
      </c>
      <c r="D6" s="6">
        <v>51.0</v>
      </c>
      <c r="E6" s="6">
        <v>119.0</v>
      </c>
      <c r="F6" s="6">
        <v>59.0</v>
      </c>
      <c r="G6" s="7">
        <v>1244.4539042828517</v>
      </c>
      <c r="H6" s="7">
        <v>1366.0</v>
      </c>
      <c r="I6" s="6">
        <v>4.0</v>
      </c>
      <c r="J6" s="7">
        <v>1176.6390765765766</v>
      </c>
      <c r="K6" s="7">
        <v>1365.0</v>
      </c>
      <c r="L6" s="6">
        <v>3.0</v>
      </c>
      <c r="M6" s="7">
        <v>1156.2548076923076</v>
      </c>
      <c r="N6" s="7">
        <v>1366.0</v>
      </c>
      <c r="O6" s="6">
        <v>1.0</v>
      </c>
      <c r="P6" s="7">
        <v>1019.3012820512821</v>
      </c>
      <c r="Q6" s="7">
        <v>1042.0</v>
      </c>
      <c r="R6" s="6">
        <v>1.0</v>
      </c>
      <c r="S6" s="7">
        <v>1346.3756613756614</v>
      </c>
      <c r="T6" s="7">
        <v>1366.0</v>
      </c>
      <c r="U6" s="6">
        <v>42.0</v>
      </c>
      <c r="V6" s="7">
        <v>1412.655756186049</v>
      </c>
      <c r="W6" s="6">
        <v>1574.0</v>
      </c>
      <c r="X6" s="6">
        <v>4.0</v>
      </c>
      <c r="Y6" s="7">
        <v>1398.777927082805</v>
      </c>
      <c r="Z6" s="6">
        <v>1448.0</v>
      </c>
      <c r="AA6" s="6">
        <v>3.0</v>
      </c>
      <c r="AB6" s="6">
        <v>1399.602139612718</v>
      </c>
      <c r="AC6" s="6">
        <v>1426.0</v>
      </c>
      <c r="AD6" s="6">
        <v>2.0</v>
      </c>
      <c r="AE6" s="6">
        <v>1423.2574626865671</v>
      </c>
      <c r="AF6" s="6">
        <v>1487.0</v>
      </c>
      <c r="AG6" s="6"/>
      <c r="AH6" s="6"/>
      <c r="AI6" s="6"/>
      <c r="AJ6" s="6">
        <v>101.0</v>
      </c>
      <c r="AK6" s="6">
        <v>8.0</v>
      </c>
      <c r="AL6" s="6">
        <v>6.0</v>
      </c>
      <c r="AM6" s="6">
        <v>3.0</v>
      </c>
      <c r="AN6" s="6">
        <v>1.0</v>
      </c>
      <c r="AO6" s="9">
        <v>44598.49759259259</v>
      </c>
      <c r="AP6" s="6">
        <v>1574.0</v>
      </c>
      <c r="AQ6" s="9">
        <v>44598.540868055556</v>
      </c>
      <c r="AR6" s="6">
        <v>189.0</v>
      </c>
      <c r="AS6" s="7">
        <v>1346.3756613756614</v>
      </c>
      <c r="AT6" s="6">
        <v>1366.0</v>
      </c>
      <c r="AU6" s="9">
        <v>44598.455092592594</v>
      </c>
      <c r="AV6" s="6">
        <v>134.0</v>
      </c>
      <c r="AW6" s="10">
        <v>1457.2835820895523</v>
      </c>
      <c r="AX6" s="6">
        <v>1487.0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ht="14.25" customHeight="1">
      <c r="A7" s="6"/>
      <c r="B7" s="5">
        <v>44621.0</v>
      </c>
      <c r="C7" s="6">
        <v>256.0</v>
      </c>
      <c r="D7" s="6">
        <v>143.0</v>
      </c>
      <c r="E7" s="6">
        <v>399.0</v>
      </c>
      <c r="F7" s="6">
        <v>233.0</v>
      </c>
      <c r="G7" s="7">
        <v>1265.265346938987</v>
      </c>
      <c r="H7" s="7">
        <v>1366.0</v>
      </c>
      <c r="I7" s="6">
        <v>15.0</v>
      </c>
      <c r="J7" s="7">
        <v>1202.7274517620845</v>
      </c>
      <c r="K7" s="7">
        <v>1366.0</v>
      </c>
      <c r="L7" s="6">
        <v>7.0</v>
      </c>
      <c r="M7" s="7">
        <v>1236.0154188477175</v>
      </c>
      <c r="N7" s="7">
        <v>1357.0</v>
      </c>
      <c r="O7" s="6">
        <v>1.0</v>
      </c>
      <c r="P7" s="7">
        <v>1108.2333333333333</v>
      </c>
      <c r="Q7" s="7">
        <v>1132.0</v>
      </c>
      <c r="R7" s="6"/>
      <c r="S7" s="7"/>
      <c r="T7" s="7"/>
      <c r="U7" s="6">
        <v>131.0</v>
      </c>
      <c r="V7" s="7">
        <v>1399.1803603315764</v>
      </c>
      <c r="W7" s="6">
        <v>1557.0</v>
      </c>
      <c r="X7" s="6">
        <v>8.0</v>
      </c>
      <c r="Y7" s="7">
        <v>1394.8291202724922</v>
      </c>
      <c r="Z7" s="6">
        <v>1499.0</v>
      </c>
      <c r="AA7" s="6">
        <v>4.0</v>
      </c>
      <c r="AB7" s="6">
        <v>1441.2462978683268</v>
      </c>
      <c r="AC7" s="6">
        <v>1533.0</v>
      </c>
      <c r="AD7" s="6"/>
      <c r="AE7" s="6"/>
      <c r="AF7" s="6"/>
      <c r="AG7" s="6"/>
      <c r="AH7" s="6"/>
      <c r="AI7" s="6"/>
      <c r="AJ7" s="6">
        <v>364.0</v>
      </c>
      <c r="AK7" s="6">
        <v>23.0</v>
      </c>
      <c r="AL7" s="6">
        <v>11.0</v>
      </c>
      <c r="AM7" s="6">
        <v>1.0</v>
      </c>
      <c r="AN7" s="6"/>
      <c r="AO7" s="9">
        <v>44645.455</v>
      </c>
      <c r="AP7" s="6">
        <v>1557.0</v>
      </c>
      <c r="AQ7" s="9">
        <v>44633.589907407404</v>
      </c>
      <c r="AR7" s="6">
        <v>180.0</v>
      </c>
      <c r="AS7" s="7">
        <v>1108.2333333333333</v>
      </c>
      <c r="AT7" s="6">
        <v>1132.0</v>
      </c>
      <c r="AU7" s="9">
        <v>44633.50277777778</v>
      </c>
      <c r="AV7" s="6">
        <v>95.0</v>
      </c>
      <c r="AW7" s="10">
        <v>1449.1052631578948</v>
      </c>
      <c r="AX7" s="6">
        <v>1533.0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ht="14.25" customHeight="1">
      <c r="A8" s="6"/>
      <c r="B8" s="5">
        <v>44652.0</v>
      </c>
      <c r="C8" s="6">
        <v>459.0</v>
      </c>
      <c r="D8" s="6">
        <v>82.0</v>
      </c>
      <c r="E8" s="6">
        <v>541.0</v>
      </c>
      <c r="F8" s="6">
        <v>435.0</v>
      </c>
      <c r="G8" s="7">
        <v>1236.6735148333435</v>
      </c>
      <c r="H8" s="7">
        <v>1366.0</v>
      </c>
      <c r="I8" s="6">
        <v>16.0</v>
      </c>
      <c r="J8" s="7">
        <v>1234.9061109152594</v>
      </c>
      <c r="K8" s="7">
        <v>1366.0</v>
      </c>
      <c r="L8" s="6">
        <v>7.0</v>
      </c>
      <c r="M8" s="7">
        <v>1241.6968121756381</v>
      </c>
      <c r="N8" s="7">
        <v>1366.0</v>
      </c>
      <c r="O8" s="6">
        <v>1.0</v>
      </c>
      <c r="P8" s="7">
        <v>1146.6796875</v>
      </c>
      <c r="Q8" s="7">
        <v>1166.0</v>
      </c>
      <c r="R8" s="6"/>
      <c r="S8" s="7"/>
      <c r="T8" s="7"/>
      <c r="U8" s="6">
        <v>76.0</v>
      </c>
      <c r="V8" s="7">
        <v>1399.7183065397855</v>
      </c>
      <c r="W8" s="6">
        <v>1503.0</v>
      </c>
      <c r="X8" s="6">
        <v>4.0</v>
      </c>
      <c r="Y8" s="7">
        <v>1423.242739343117</v>
      </c>
      <c r="Z8" s="6">
        <v>1482.0</v>
      </c>
      <c r="AA8" s="6"/>
      <c r="AB8" s="6"/>
      <c r="AC8" s="6"/>
      <c r="AD8" s="6">
        <v>1.0</v>
      </c>
      <c r="AE8" s="6">
        <v>1453.5263157894738</v>
      </c>
      <c r="AF8" s="6">
        <v>1482.0</v>
      </c>
      <c r="AG8" s="6">
        <v>1.0</v>
      </c>
      <c r="AH8" s="6">
        <v>1433.58203125</v>
      </c>
      <c r="AI8" s="6">
        <v>1492.0</v>
      </c>
      <c r="AJ8" s="6">
        <v>511.0</v>
      </c>
      <c r="AK8" s="6">
        <v>20.0</v>
      </c>
      <c r="AL8" s="6">
        <v>7.0</v>
      </c>
      <c r="AM8" s="6">
        <v>2.0</v>
      </c>
      <c r="AN8" s="6">
        <v>1.0</v>
      </c>
      <c r="AO8" s="9">
        <v>44663.48423611111</v>
      </c>
      <c r="AP8" s="6">
        <v>1503.0</v>
      </c>
      <c r="AQ8" s="9">
        <v>44667.40181712963</v>
      </c>
      <c r="AR8" s="6">
        <v>128.0</v>
      </c>
      <c r="AS8" s="7">
        <v>1146.6796875</v>
      </c>
      <c r="AT8" s="6">
        <v>1166.0</v>
      </c>
      <c r="AU8" s="9">
        <v>44652.51635416667</v>
      </c>
      <c r="AV8" s="6">
        <v>256.0</v>
      </c>
      <c r="AW8" s="10">
        <v>1433.58203125</v>
      </c>
      <c r="AX8" s="6">
        <v>1492.0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ht="14.25" customHeight="1">
      <c r="A9" s="6"/>
      <c r="B9" s="5">
        <v>44682.0</v>
      </c>
      <c r="C9" s="6">
        <v>436.0</v>
      </c>
      <c r="D9" s="6">
        <v>3.0</v>
      </c>
      <c r="E9" s="6">
        <v>439.0</v>
      </c>
      <c r="F9" s="6">
        <v>398.0</v>
      </c>
      <c r="G9" s="7">
        <v>1176.3220383147961</v>
      </c>
      <c r="H9" s="7">
        <v>1365.0</v>
      </c>
      <c r="I9" s="6">
        <v>29.0</v>
      </c>
      <c r="J9" s="7">
        <v>1193.051309274964</v>
      </c>
      <c r="K9" s="7">
        <v>1347.0</v>
      </c>
      <c r="L9" s="6">
        <v>6.0</v>
      </c>
      <c r="M9" s="7">
        <v>1180.8006737515072</v>
      </c>
      <c r="N9" s="7">
        <v>1296.0</v>
      </c>
      <c r="O9" s="6">
        <v>1.0</v>
      </c>
      <c r="P9" s="7">
        <v>1169.9918699186992</v>
      </c>
      <c r="Q9" s="7">
        <v>1245.0</v>
      </c>
      <c r="R9" s="6">
        <v>2.0</v>
      </c>
      <c r="S9" s="7">
        <v>1218.0657534246575</v>
      </c>
      <c r="T9" s="7">
        <v>1252.0</v>
      </c>
      <c r="U9" s="6">
        <v>3.0</v>
      </c>
      <c r="V9" s="7">
        <v>1368.6666666666667</v>
      </c>
      <c r="W9" s="6">
        <v>1371.0</v>
      </c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401.0</v>
      </c>
      <c r="AK9" s="6">
        <v>29.0</v>
      </c>
      <c r="AL9" s="6">
        <v>6.0</v>
      </c>
      <c r="AM9" s="6">
        <v>1.0</v>
      </c>
      <c r="AN9" s="6">
        <v>2.0</v>
      </c>
      <c r="AO9" s="9">
        <v>44708.49652777778</v>
      </c>
      <c r="AP9" s="6">
        <v>1371.0</v>
      </c>
      <c r="AQ9" s="9">
        <v>44687.423171296294</v>
      </c>
      <c r="AR9" s="6">
        <v>183.0</v>
      </c>
      <c r="AS9" s="7">
        <v>1216.8743169398906</v>
      </c>
      <c r="AT9" s="6">
        <v>1252.0</v>
      </c>
      <c r="AU9" s="9">
        <v>44708.49652777778</v>
      </c>
      <c r="AV9" s="6">
        <v>1.0</v>
      </c>
      <c r="AW9" s="10">
        <v>1371.0</v>
      </c>
      <c r="AX9" s="6">
        <v>1371.0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4.25" customHeight="1">
      <c r="A10" s="6"/>
      <c r="B10" s="5">
        <v>44713.0</v>
      </c>
      <c r="C10" s="6">
        <v>467.0</v>
      </c>
      <c r="D10" s="6">
        <v>1.0</v>
      </c>
      <c r="E10" s="6">
        <v>468.0</v>
      </c>
      <c r="F10" s="6">
        <v>424.0</v>
      </c>
      <c r="G10" s="7">
        <v>1134.173624685159</v>
      </c>
      <c r="H10" s="7">
        <v>1344.0</v>
      </c>
      <c r="I10" s="6">
        <v>29.0</v>
      </c>
      <c r="J10" s="7">
        <v>1152.8224018419758</v>
      </c>
      <c r="K10" s="7">
        <v>1325.0</v>
      </c>
      <c r="L10" s="6">
        <v>13.0</v>
      </c>
      <c r="M10" s="7">
        <v>1182.4716943528585</v>
      </c>
      <c r="N10" s="7">
        <v>1319.0</v>
      </c>
      <c r="O10" s="6">
        <v>1.0</v>
      </c>
      <c r="P10" s="7">
        <v>1225.5328467153286</v>
      </c>
      <c r="Q10" s="7">
        <v>1271.0</v>
      </c>
      <c r="R10" s="6"/>
      <c r="S10" s="7"/>
      <c r="T10" s="7"/>
      <c r="U10" s="6">
        <v>1.0</v>
      </c>
      <c r="V10" s="7">
        <v>1375.3333333333333</v>
      </c>
      <c r="W10" s="6">
        <v>1380.0</v>
      </c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425.0</v>
      </c>
      <c r="AK10" s="6">
        <v>29.0</v>
      </c>
      <c r="AL10" s="6">
        <v>13.0</v>
      </c>
      <c r="AM10" s="6">
        <v>1.0</v>
      </c>
      <c r="AN10" s="6"/>
      <c r="AO10" s="9">
        <v>44718.49936342592</v>
      </c>
      <c r="AP10" s="6">
        <v>1380.0</v>
      </c>
      <c r="AQ10" s="9">
        <v>44723.466516203705</v>
      </c>
      <c r="AR10" s="6">
        <v>137.0</v>
      </c>
      <c r="AS10" s="7">
        <v>1225.5328467153286</v>
      </c>
      <c r="AT10" s="6">
        <v>1271.0</v>
      </c>
      <c r="AU10" s="9">
        <v>44718.499375</v>
      </c>
      <c r="AV10" s="6">
        <v>3.0</v>
      </c>
      <c r="AW10" s="10">
        <v>1375.3333333333333</v>
      </c>
      <c r="AX10" s="6">
        <v>1380.0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ht="14.25" customHeight="1">
      <c r="A11" s="6"/>
      <c r="B11" s="5">
        <v>44743.0</v>
      </c>
      <c r="C11" s="6">
        <v>431.0</v>
      </c>
      <c r="D11" s="6">
        <v>4.0</v>
      </c>
      <c r="E11" s="6">
        <v>435.0</v>
      </c>
      <c r="F11" s="6">
        <v>382.0</v>
      </c>
      <c r="G11" s="7">
        <v>1144.068732766</v>
      </c>
      <c r="H11" s="7">
        <v>1365.0</v>
      </c>
      <c r="I11" s="6">
        <v>36.0</v>
      </c>
      <c r="J11" s="7">
        <v>1153.2739493782592</v>
      </c>
      <c r="K11" s="7">
        <v>1333.0</v>
      </c>
      <c r="L11" s="6">
        <v>9.0</v>
      </c>
      <c r="M11" s="7">
        <v>1164.631776362859</v>
      </c>
      <c r="N11" s="7">
        <v>1278.0</v>
      </c>
      <c r="O11" s="6">
        <v>4.0</v>
      </c>
      <c r="P11" s="7">
        <v>1118.2151417690732</v>
      </c>
      <c r="Q11" s="7">
        <v>1227.0</v>
      </c>
      <c r="R11" s="6"/>
      <c r="S11" s="7"/>
      <c r="T11" s="7"/>
      <c r="U11" s="6">
        <v>4.0</v>
      </c>
      <c r="V11" s="7">
        <v>1406.5347222222222</v>
      </c>
      <c r="W11" s="6">
        <v>1489.0</v>
      </c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386.0</v>
      </c>
      <c r="AK11" s="6">
        <v>36.0</v>
      </c>
      <c r="AL11" s="6">
        <v>9.0</v>
      </c>
      <c r="AM11" s="6">
        <v>4.0</v>
      </c>
      <c r="AN11" s="6"/>
      <c r="AO11" s="9">
        <v>44757.50983796296</v>
      </c>
      <c r="AP11" s="6">
        <v>1489.0</v>
      </c>
      <c r="AQ11" s="9">
        <v>44769.4596875</v>
      </c>
      <c r="AR11" s="6">
        <v>160.0</v>
      </c>
      <c r="AS11" s="7">
        <v>1200.6875</v>
      </c>
      <c r="AT11" s="6">
        <v>1221.0</v>
      </c>
      <c r="AU11" s="9">
        <v>44757.50989583333</v>
      </c>
      <c r="AV11" s="6">
        <v>14.0</v>
      </c>
      <c r="AW11" s="10">
        <v>1451.9285714285713</v>
      </c>
      <c r="AX11" s="6">
        <v>1489.0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ht="14.25" customHeight="1">
      <c r="A12" s="6"/>
      <c r="B12" s="5">
        <v>44774.0</v>
      </c>
      <c r="C12" s="6">
        <v>625.0</v>
      </c>
      <c r="D12" s="6">
        <v>74.0</v>
      </c>
      <c r="E12" s="6">
        <v>699.0</v>
      </c>
      <c r="F12" s="6">
        <v>576.0</v>
      </c>
      <c r="G12" s="7">
        <v>1203.0295306834892</v>
      </c>
      <c r="H12" s="7">
        <v>1366.0</v>
      </c>
      <c r="I12" s="6">
        <v>35.0</v>
      </c>
      <c r="J12" s="7">
        <v>1222.7810097383642</v>
      </c>
      <c r="K12" s="7">
        <v>1366.0</v>
      </c>
      <c r="L12" s="6">
        <v>9.0</v>
      </c>
      <c r="M12" s="7">
        <v>1227.4479577783536</v>
      </c>
      <c r="N12" s="7">
        <v>1366.0</v>
      </c>
      <c r="O12" s="6">
        <v>5.0</v>
      </c>
      <c r="P12" s="7">
        <v>1235.596415499484</v>
      </c>
      <c r="Q12" s="7">
        <v>1347.0</v>
      </c>
      <c r="R12" s="6"/>
      <c r="S12" s="7"/>
      <c r="T12" s="7"/>
      <c r="U12" s="6">
        <v>71.0</v>
      </c>
      <c r="V12" s="7">
        <v>1396.3018945250572</v>
      </c>
      <c r="W12" s="6">
        <v>1469.0</v>
      </c>
      <c r="X12" s="6">
        <v>3.0</v>
      </c>
      <c r="Y12" s="7">
        <v>1396.8272727272727</v>
      </c>
      <c r="Z12" s="6">
        <v>1445.0</v>
      </c>
      <c r="AA12" s="6"/>
      <c r="AB12" s="6"/>
      <c r="AC12" s="6"/>
      <c r="AD12" s="6"/>
      <c r="AE12" s="6"/>
      <c r="AF12" s="6"/>
      <c r="AG12" s="6"/>
      <c r="AH12" s="6"/>
      <c r="AI12" s="6"/>
      <c r="AJ12" s="6">
        <v>647.0</v>
      </c>
      <c r="AK12" s="6">
        <v>38.0</v>
      </c>
      <c r="AL12" s="6">
        <v>9.0</v>
      </c>
      <c r="AM12" s="6">
        <v>5.0</v>
      </c>
      <c r="AN12" s="6"/>
      <c r="AO12" s="9">
        <v>44788.45804398148</v>
      </c>
      <c r="AP12" s="6">
        <v>1469.0</v>
      </c>
      <c r="AQ12" s="9">
        <v>44790.54215277778</v>
      </c>
      <c r="AR12" s="6">
        <v>151.0</v>
      </c>
      <c r="AS12" s="7">
        <v>1218.3443708609273</v>
      </c>
      <c r="AT12" s="6">
        <v>1234.0</v>
      </c>
      <c r="AU12" s="9">
        <v>44804.506516203706</v>
      </c>
      <c r="AV12" s="6">
        <v>46.0</v>
      </c>
      <c r="AW12" s="10">
        <v>1406.5869565217392</v>
      </c>
      <c r="AX12" s="6">
        <v>1445.0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ht="14.25" customHeight="1">
      <c r="A13" s="6"/>
      <c r="B13" s="5">
        <v>44805.0</v>
      </c>
      <c r="C13" s="6">
        <v>388.0</v>
      </c>
      <c r="D13" s="6">
        <v>61.0</v>
      </c>
      <c r="E13" s="6">
        <v>449.0</v>
      </c>
      <c r="F13" s="6">
        <v>340.0</v>
      </c>
      <c r="G13" s="6">
        <v>1200.0425998040425</v>
      </c>
      <c r="H13" s="6">
        <v>1366.0</v>
      </c>
      <c r="I13" s="6">
        <v>35.0</v>
      </c>
      <c r="J13" s="6">
        <v>1196.7978960150565</v>
      </c>
      <c r="K13" s="6">
        <v>1366.0</v>
      </c>
      <c r="L13" s="6">
        <v>10.0</v>
      </c>
      <c r="M13" s="6">
        <v>1198.8439353413064</v>
      </c>
      <c r="N13" s="6">
        <v>1366.0</v>
      </c>
      <c r="O13" s="6">
        <v>3.0</v>
      </c>
      <c r="P13" s="6">
        <v>1245.8608815426996</v>
      </c>
      <c r="Q13" s="6">
        <v>1365.0</v>
      </c>
      <c r="R13" s="6"/>
      <c r="S13" s="6"/>
      <c r="T13" s="6"/>
      <c r="U13" s="6">
        <v>57.0</v>
      </c>
      <c r="V13" s="6">
        <v>1400.118745347523</v>
      </c>
      <c r="W13" s="6">
        <v>1513.0</v>
      </c>
      <c r="X13" s="6">
        <v>3.0</v>
      </c>
      <c r="Y13" s="6">
        <v>1433.9483071772338</v>
      </c>
      <c r="Z13" s="6">
        <v>1471.0</v>
      </c>
      <c r="AA13" s="6">
        <v>1.0</v>
      </c>
      <c r="AB13" s="6">
        <v>1478.0289855072465</v>
      </c>
      <c r="AC13" s="6">
        <v>1503.0</v>
      </c>
      <c r="AD13" s="6"/>
      <c r="AE13" s="6"/>
      <c r="AF13" s="6"/>
      <c r="AG13" s="6"/>
      <c r="AH13" s="6"/>
      <c r="AI13" s="6"/>
      <c r="AJ13" s="6">
        <v>397.0</v>
      </c>
      <c r="AK13" s="6">
        <v>38.0</v>
      </c>
      <c r="AL13" s="6">
        <v>11.0</v>
      </c>
      <c r="AM13" s="6">
        <v>3.0</v>
      </c>
      <c r="AN13" s="6"/>
      <c r="AO13" s="9">
        <v>44826.44065972222</v>
      </c>
      <c r="AP13" s="6">
        <v>1513.0</v>
      </c>
      <c r="AQ13" s="9">
        <v>44808.52259259259</v>
      </c>
      <c r="AR13" s="6">
        <v>156.0</v>
      </c>
      <c r="AS13" s="6">
        <v>1328.1153846153845</v>
      </c>
      <c r="AT13" s="6">
        <v>1365.0</v>
      </c>
      <c r="AU13" s="9">
        <v>44817.484918981485</v>
      </c>
      <c r="AV13" s="6">
        <v>69.0</v>
      </c>
      <c r="AW13" s="6">
        <v>1478.0289855072465</v>
      </c>
      <c r="AX13" s="6">
        <v>1503.0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ht="14.25" customHeight="1">
      <c r="A14" s="6"/>
      <c r="B14" s="5">
        <v>44835.0</v>
      </c>
      <c r="C14" s="6">
        <v>90.0</v>
      </c>
      <c r="D14" s="6">
        <v>50.0</v>
      </c>
      <c r="E14" s="6">
        <v>140.0</v>
      </c>
      <c r="F14" s="6">
        <v>86.0</v>
      </c>
      <c r="G14" s="6">
        <v>1277.0920777547792</v>
      </c>
      <c r="H14" s="6">
        <v>1366.0</v>
      </c>
      <c r="I14" s="6">
        <v>3.0</v>
      </c>
      <c r="J14" s="6">
        <v>1245.7539308176101</v>
      </c>
      <c r="K14" s="6">
        <v>1350.0</v>
      </c>
      <c r="L14" s="6">
        <v>1.0</v>
      </c>
      <c r="M14" s="6">
        <v>1044.9344262295083</v>
      </c>
      <c r="N14" s="6">
        <v>1048.0</v>
      </c>
      <c r="O14" s="6"/>
      <c r="P14" s="6"/>
      <c r="Q14" s="6"/>
      <c r="R14" s="6"/>
      <c r="S14" s="6"/>
      <c r="T14" s="6"/>
      <c r="U14" s="6">
        <v>42.0</v>
      </c>
      <c r="V14" s="6">
        <v>1392.2024673147298</v>
      </c>
      <c r="W14" s="6">
        <v>1481.0</v>
      </c>
      <c r="X14" s="6">
        <v>7.0</v>
      </c>
      <c r="Y14" s="6">
        <v>1402.8053921568626</v>
      </c>
      <c r="Z14" s="6">
        <v>1506.0</v>
      </c>
      <c r="AA14" s="6">
        <v>1.0</v>
      </c>
      <c r="AB14" s="6">
        <v>1399.9866666666667</v>
      </c>
      <c r="AC14" s="6">
        <v>1419.0</v>
      </c>
      <c r="AD14" s="6"/>
      <c r="AE14" s="6"/>
      <c r="AF14" s="6"/>
      <c r="AG14" s="6"/>
      <c r="AH14" s="6"/>
      <c r="AI14" s="6"/>
      <c r="AJ14" s="6">
        <v>128.0</v>
      </c>
      <c r="AK14" s="6">
        <v>10.0</v>
      </c>
      <c r="AL14" s="6">
        <v>2.0</v>
      </c>
      <c r="AM14" s="6"/>
      <c r="AN14" s="6"/>
      <c r="AO14" s="9">
        <v>44858.45903935185</v>
      </c>
      <c r="AP14" s="6">
        <v>1506.0</v>
      </c>
      <c r="AQ14" s="9">
        <v>44853.36709490741</v>
      </c>
      <c r="AR14" s="11">
        <v>61.0</v>
      </c>
      <c r="AS14" s="6">
        <v>1044.9344262295083</v>
      </c>
      <c r="AT14" s="6">
        <v>1048.0</v>
      </c>
      <c r="AU14" s="9">
        <v>44858.46759259259</v>
      </c>
      <c r="AV14" s="6">
        <v>75.0</v>
      </c>
      <c r="AW14" s="6">
        <v>1399.9866666666667</v>
      </c>
      <c r="AX14" s="6">
        <v>1419.0</v>
      </c>
      <c r="AY14" s="6"/>
      <c r="AZ14" s="6"/>
      <c r="BA14" s="6"/>
      <c r="BB14" s="6"/>
      <c r="BC14" s="9"/>
      <c r="BD14" s="6"/>
      <c r="BE14" s="9"/>
      <c r="BF14" s="6"/>
      <c r="BG14" s="6"/>
      <c r="BH14" s="6"/>
      <c r="BI14" s="9"/>
    </row>
    <row r="15" ht="14.25" customHeight="1">
      <c r="A15" s="6"/>
      <c r="B15" s="5">
        <v>44866.0</v>
      </c>
      <c r="C15" s="6">
        <v>223.0</v>
      </c>
      <c r="D15" s="6">
        <v>106.0</v>
      </c>
      <c r="E15" s="6">
        <v>329.0</v>
      </c>
      <c r="F15" s="6">
        <v>187.0</v>
      </c>
      <c r="G15" s="6">
        <v>1223.9836823312212</v>
      </c>
      <c r="H15" s="6">
        <v>1366.0</v>
      </c>
      <c r="I15" s="6">
        <v>15.0</v>
      </c>
      <c r="J15" s="6">
        <v>1130.893345273186</v>
      </c>
      <c r="K15" s="6">
        <v>1361.0</v>
      </c>
      <c r="L15" s="6">
        <v>17.0</v>
      </c>
      <c r="M15" s="6">
        <v>1213.1562399810316</v>
      </c>
      <c r="N15" s="6">
        <v>1361.0</v>
      </c>
      <c r="O15" s="6">
        <v>4.0</v>
      </c>
      <c r="P15" s="6">
        <v>1266.1559003247928</v>
      </c>
      <c r="Q15" s="6">
        <v>1366.0</v>
      </c>
      <c r="R15" s="6"/>
      <c r="S15" s="6"/>
      <c r="T15" s="6"/>
      <c r="U15" s="6">
        <v>92.0</v>
      </c>
      <c r="V15" s="6">
        <v>1420.0104075578636</v>
      </c>
      <c r="W15" s="6">
        <v>1651.0</v>
      </c>
      <c r="X15" s="6">
        <v>7.0</v>
      </c>
      <c r="Y15" s="6">
        <v>1414.9484289356014</v>
      </c>
      <c r="Z15" s="6">
        <v>1517.0</v>
      </c>
      <c r="AA15" s="6">
        <v>7.0</v>
      </c>
      <c r="AB15" s="6">
        <v>1417.1312775320475</v>
      </c>
      <c r="AC15" s="6">
        <v>1516.0</v>
      </c>
      <c r="AD15" s="6"/>
      <c r="AE15" s="6"/>
      <c r="AF15" s="6"/>
      <c r="AG15" s="6"/>
      <c r="AH15" s="6"/>
      <c r="AI15" s="6"/>
      <c r="AJ15" s="6">
        <v>279.0</v>
      </c>
      <c r="AK15" s="6">
        <v>22.0</v>
      </c>
      <c r="AL15" s="6">
        <v>24.0</v>
      </c>
      <c r="AM15" s="6">
        <v>4.0</v>
      </c>
      <c r="AN15" s="6"/>
      <c r="AO15" s="9">
        <v>44870.503287037034</v>
      </c>
      <c r="AP15" s="6">
        <v>1651.0</v>
      </c>
      <c r="AQ15" s="9">
        <v>44874.40059027778</v>
      </c>
      <c r="AR15" s="11">
        <v>468.0</v>
      </c>
      <c r="AS15" s="6">
        <v>1193.9594017094016</v>
      </c>
      <c r="AT15" s="6">
        <v>1228.0</v>
      </c>
      <c r="AU15" s="9">
        <v>44871.514027777775</v>
      </c>
      <c r="AV15" s="6">
        <v>107.0</v>
      </c>
      <c r="AW15" s="6">
        <v>1495.2056074766356</v>
      </c>
      <c r="AX15" s="6">
        <v>1516.0</v>
      </c>
      <c r="AY15" s="6"/>
      <c r="AZ15" s="6"/>
      <c r="BA15" s="6"/>
      <c r="BB15" s="6"/>
      <c r="BC15" s="9"/>
      <c r="BD15" s="6"/>
      <c r="BE15" s="9"/>
      <c r="BF15" s="6"/>
      <c r="BG15" s="6"/>
      <c r="BH15" s="6"/>
      <c r="BI15" s="9"/>
    </row>
    <row r="16" ht="14.25" customHeight="1">
      <c r="A16" s="6"/>
      <c r="B16" s="5">
        <v>44896.0</v>
      </c>
      <c r="C16" s="6">
        <v>212.0</v>
      </c>
      <c r="D16" s="6">
        <v>63.0</v>
      </c>
      <c r="E16" s="6">
        <v>275.0</v>
      </c>
      <c r="F16" s="6">
        <v>196.0</v>
      </c>
      <c r="G16" s="6">
        <v>1223.7569119487237</v>
      </c>
      <c r="H16" s="6">
        <v>1366.0</v>
      </c>
      <c r="I16" s="6">
        <v>10.0</v>
      </c>
      <c r="J16" s="6">
        <v>1250.745736980581</v>
      </c>
      <c r="K16" s="6">
        <v>1366.0</v>
      </c>
      <c r="L16" s="6">
        <v>3.0</v>
      </c>
      <c r="M16" s="6">
        <v>1212.6263688938106</v>
      </c>
      <c r="N16" s="6">
        <v>1366.0</v>
      </c>
      <c r="O16" s="6">
        <v>3.0</v>
      </c>
      <c r="P16" s="6">
        <v>1137.4433333333334</v>
      </c>
      <c r="Q16" s="6">
        <v>1258.0</v>
      </c>
      <c r="R16" s="6"/>
      <c r="S16" s="6"/>
      <c r="T16" s="6"/>
      <c r="U16" s="6">
        <v>54.0</v>
      </c>
      <c r="V16" s="6">
        <v>1395.2653927188946</v>
      </c>
      <c r="W16" s="6">
        <v>1571.0</v>
      </c>
      <c r="X16" s="6">
        <v>5.0</v>
      </c>
      <c r="Y16" s="6">
        <v>1396.1911730545876</v>
      </c>
      <c r="Z16" s="6">
        <v>1457.0</v>
      </c>
      <c r="AA16" s="6">
        <v>3.0</v>
      </c>
      <c r="AB16" s="6">
        <v>1406.0434173669469</v>
      </c>
      <c r="AC16" s="6">
        <v>1445.0</v>
      </c>
      <c r="AD16" s="6">
        <v>1.0</v>
      </c>
      <c r="AE16" s="6">
        <v>1395.63125</v>
      </c>
      <c r="AF16" s="6">
        <v>1422.0</v>
      </c>
      <c r="AG16" s="6"/>
      <c r="AH16" s="6"/>
      <c r="AI16" s="6"/>
      <c r="AJ16" s="6">
        <v>250.0</v>
      </c>
      <c r="AK16" s="6">
        <v>15.0</v>
      </c>
      <c r="AL16" s="6">
        <v>6.0</v>
      </c>
      <c r="AM16" s="6">
        <v>4.0</v>
      </c>
      <c r="AN16" s="6"/>
      <c r="AO16" s="9">
        <v>44900.48583333333</v>
      </c>
      <c r="AP16" s="6">
        <v>1571.0</v>
      </c>
      <c r="AQ16" s="9">
        <v>44916.43703703704</v>
      </c>
      <c r="AR16" s="11">
        <v>264.0</v>
      </c>
      <c r="AS16" s="6">
        <v>1345.3939393939395</v>
      </c>
      <c r="AT16" s="6">
        <v>1362.0</v>
      </c>
      <c r="AU16" s="9">
        <v>44916.46847222222</v>
      </c>
      <c r="AV16" s="6">
        <v>160.0</v>
      </c>
      <c r="AW16" s="6">
        <v>1395.63125</v>
      </c>
      <c r="AX16" s="6">
        <v>1422.0</v>
      </c>
      <c r="AY16" s="6"/>
      <c r="AZ16" s="6"/>
      <c r="BA16" s="6"/>
      <c r="BB16" s="6"/>
      <c r="BC16" s="9"/>
      <c r="BD16" s="6"/>
      <c r="BE16" s="9"/>
      <c r="BF16" s="6"/>
      <c r="BG16" s="6"/>
      <c r="BH16" s="6"/>
      <c r="BI16" s="9"/>
    </row>
    <row r="17" ht="14.25" customHeight="1">
      <c r="A17" s="6"/>
      <c r="B17" s="5">
        <v>44927.0</v>
      </c>
      <c r="C17" s="6">
        <v>69.0</v>
      </c>
      <c r="D17" s="6">
        <v>17.0</v>
      </c>
      <c r="E17" s="6">
        <v>86.0</v>
      </c>
      <c r="F17" s="6">
        <v>64.0</v>
      </c>
      <c r="G17" s="6">
        <v>1239.1028453008464</v>
      </c>
      <c r="H17" s="6">
        <v>1366.0</v>
      </c>
      <c r="I17" s="6">
        <v>4.0</v>
      </c>
      <c r="J17" s="6">
        <v>1253.0154020769537</v>
      </c>
      <c r="K17" s="6">
        <v>1366.0</v>
      </c>
      <c r="L17" s="6">
        <v>1.0</v>
      </c>
      <c r="M17" s="6">
        <v>1303.2571428571428</v>
      </c>
      <c r="N17" s="6">
        <v>1320.0</v>
      </c>
      <c r="O17" s="6"/>
      <c r="P17" s="6"/>
      <c r="Q17" s="6"/>
      <c r="R17" s="6"/>
      <c r="S17" s="6"/>
      <c r="T17" s="6"/>
      <c r="U17" s="6">
        <v>16.0</v>
      </c>
      <c r="V17" s="6">
        <v>1379.4508477633478</v>
      </c>
      <c r="W17" s="6">
        <v>1403.0</v>
      </c>
      <c r="X17" s="6"/>
      <c r="Y17" s="6"/>
      <c r="Z17" s="6"/>
      <c r="AA17" s="6">
        <v>1.0</v>
      </c>
      <c r="AB17" s="6">
        <v>1384.5245901639344</v>
      </c>
      <c r="AC17" s="6">
        <v>1393.0</v>
      </c>
      <c r="AD17" s="6"/>
      <c r="AE17" s="6"/>
      <c r="AF17" s="6"/>
      <c r="AG17" s="6"/>
      <c r="AH17" s="6"/>
      <c r="AI17" s="6"/>
      <c r="AJ17" s="6">
        <v>80.0</v>
      </c>
      <c r="AK17" s="6">
        <v>4.0</v>
      </c>
      <c r="AL17" s="6">
        <v>2.0</v>
      </c>
      <c r="AM17" s="6"/>
      <c r="AN17" s="6"/>
      <c r="AO17" s="9">
        <v>44954.44868055556</v>
      </c>
      <c r="AP17" s="6">
        <v>1403.0</v>
      </c>
      <c r="AQ17" s="9">
        <v>44949.42451388889</v>
      </c>
      <c r="AR17" s="11">
        <v>105.0</v>
      </c>
      <c r="AS17" s="6">
        <v>1303.2571428571428</v>
      </c>
      <c r="AT17" s="6">
        <v>1320.0</v>
      </c>
      <c r="AU17" s="9">
        <v>44943.46996527778</v>
      </c>
      <c r="AV17" s="6">
        <v>61.0</v>
      </c>
      <c r="AW17" s="6">
        <v>1384.5245901639344</v>
      </c>
      <c r="AX17" s="6">
        <v>1393.0</v>
      </c>
      <c r="AY17" s="6"/>
      <c r="AZ17" s="6"/>
      <c r="BA17" s="6"/>
      <c r="BB17" s="6"/>
      <c r="BC17" s="9"/>
      <c r="BD17" s="6"/>
      <c r="BE17" s="9"/>
      <c r="BF17" s="6"/>
      <c r="BG17" s="6"/>
      <c r="BH17" s="6"/>
      <c r="BI17" s="9"/>
    </row>
    <row r="18" ht="14.25" customHeight="1">
      <c r="A18" s="6"/>
      <c r="B18" s="5">
        <v>44958.0</v>
      </c>
      <c r="C18" s="6">
        <v>96.0</v>
      </c>
      <c r="D18" s="6">
        <v>97.0</v>
      </c>
      <c r="E18" s="6">
        <v>193.0</v>
      </c>
      <c r="F18" s="6">
        <v>90.0</v>
      </c>
      <c r="G18" s="6">
        <v>1244.623547310227</v>
      </c>
      <c r="H18" s="6">
        <v>1366.0</v>
      </c>
      <c r="I18" s="6">
        <v>2.0</v>
      </c>
      <c r="J18" s="6">
        <v>1251.2102108309218</v>
      </c>
      <c r="K18" s="6">
        <v>1326.0</v>
      </c>
      <c r="L18" s="6">
        <v>2.0</v>
      </c>
      <c r="M18" s="6">
        <v>1335.7704021289178</v>
      </c>
      <c r="N18" s="6">
        <v>1345.0</v>
      </c>
      <c r="O18" s="6"/>
      <c r="P18" s="6"/>
      <c r="Q18" s="6"/>
      <c r="R18" s="6">
        <v>2.0</v>
      </c>
      <c r="S18" s="6">
        <v>1189.7938693913816</v>
      </c>
      <c r="T18" s="6">
        <v>1266.0</v>
      </c>
      <c r="U18" s="6">
        <v>91.0</v>
      </c>
      <c r="V18" s="6">
        <v>1404.6748290756746</v>
      </c>
      <c r="W18" s="6">
        <v>1550.0</v>
      </c>
      <c r="X18" s="6">
        <v>4.0</v>
      </c>
      <c r="Y18" s="6">
        <v>1422.6086347070368</v>
      </c>
      <c r="Z18" s="6">
        <v>1475.0</v>
      </c>
      <c r="AA18" s="6">
        <v>1.0</v>
      </c>
      <c r="AB18" s="6">
        <v>1409.061403508772</v>
      </c>
      <c r="AC18" s="6">
        <v>1422.0</v>
      </c>
      <c r="AD18" s="6">
        <v>1.0</v>
      </c>
      <c r="AE18" s="6">
        <v>1431.2125984251968</v>
      </c>
      <c r="AF18" s="6">
        <v>1489.0</v>
      </c>
      <c r="AG18" s="6"/>
      <c r="AH18" s="6"/>
      <c r="AI18" s="6"/>
      <c r="AJ18" s="6">
        <v>181.0</v>
      </c>
      <c r="AK18" s="6">
        <v>6.0</v>
      </c>
      <c r="AL18" s="6">
        <v>3.0</v>
      </c>
      <c r="AM18" s="6">
        <v>1.0</v>
      </c>
      <c r="AN18" s="6">
        <v>2.0</v>
      </c>
      <c r="AO18" s="9">
        <v>44958.50125</v>
      </c>
      <c r="AP18" s="6">
        <v>1550.0</v>
      </c>
      <c r="AQ18" s="9">
        <v>44965.58253472222</v>
      </c>
      <c r="AR18" s="11">
        <v>1979.0</v>
      </c>
      <c r="AS18" s="6">
        <v>1199.533097524002</v>
      </c>
      <c r="AT18" s="6">
        <v>1266.0</v>
      </c>
      <c r="AU18" s="9">
        <v>44979.49862268518</v>
      </c>
      <c r="AV18" s="6">
        <v>127.0</v>
      </c>
      <c r="AW18" s="6">
        <v>1431.2125984251968</v>
      </c>
      <c r="AX18" s="6">
        <v>1489.0</v>
      </c>
      <c r="AY18" s="6"/>
      <c r="AZ18" s="6"/>
      <c r="BA18" s="6"/>
      <c r="BB18" s="6"/>
      <c r="BC18" s="9"/>
      <c r="BD18" s="6"/>
      <c r="BE18" s="9"/>
      <c r="BF18" s="6"/>
      <c r="BG18" s="6"/>
      <c r="BH18" s="6"/>
      <c r="BI18" s="9"/>
    </row>
    <row r="19" ht="14.25" customHeight="1">
      <c r="A19" s="6"/>
      <c r="B19" s="5">
        <v>44986.0</v>
      </c>
      <c r="C19" s="6">
        <v>229.0</v>
      </c>
      <c r="D19" s="6">
        <v>80.0</v>
      </c>
      <c r="E19" s="6">
        <v>309.0</v>
      </c>
      <c r="F19" s="6">
        <v>209.0</v>
      </c>
      <c r="G19" s="6">
        <v>1269.4258709251578</v>
      </c>
      <c r="H19" s="6">
        <v>1366.0</v>
      </c>
      <c r="I19" s="6">
        <v>12.0</v>
      </c>
      <c r="J19" s="6">
        <v>1207.8285933381364</v>
      </c>
      <c r="K19" s="6">
        <v>1366.0</v>
      </c>
      <c r="L19" s="6">
        <v>7.0</v>
      </c>
      <c r="M19" s="6">
        <v>1242.338047348981</v>
      </c>
      <c r="N19" s="6">
        <v>1366.0</v>
      </c>
      <c r="O19" s="6"/>
      <c r="P19" s="6"/>
      <c r="Q19" s="6"/>
      <c r="R19" s="6">
        <v>1.0</v>
      </c>
      <c r="S19" s="6">
        <v>1172.973404255319</v>
      </c>
      <c r="T19" s="6">
        <v>1258.0</v>
      </c>
      <c r="U19" s="6">
        <v>69.0</v>
      </c>
      <c r="V19" s="6">
        <v>1404.2475989601007</v>
      </c>
      <c r="W19" s="6">
        <v>1551.0</v>
      </c>
      <c r="X19" s="6">
        <v>5.0</v>
      </c>
      <c r="Y19" s="6">
        <v>1405.7478473762012</v>
      </c>
      <c r="Z19" s="6">
        <v>1520.0</v>
      </c>
      <c r="AA19" s="6">
        <v>6.0</v>
      </c>
      <c r="AB19" s="6">
        <v>1420.595873793917</v>
      </c>
      <c r="AC19" s="6">
        <v>1511.0</v>
      </c>
      <c r="AD19" s="6"/>
      <c r="AE19" s="6"/>
      <c r="AF19" s="6"/>
      <c r="AG19" s="6"/>
      <c r="AH19" s="6"/>
      <c r="AI19" s="6"/>
      <c r="AJ19" s="6">
        <v>278.0</v>
      </c>
      <c r="AK19" s="6">
        <v>17.0</v>
      </c>
      <c r="AL19" s="6">
        <v>13.0</v>
      </c>
      <c r="AM19" s="6"/>
      <c r="AN19" s="6">
        <v>1.0</v>
      </c>
      <c r="AO19" s="9">
        <v>45010.504791666666</v>
      </c>
      <c r="AP19" s="6">
        <v>1551.0</v>
      </c>
      <c r="AQ19" s="9">
        <v>45004.37951388889</v>
      </c>
      <c r="AR19" s="6">
        <v>188.0</v>
      </c>
      <c r="AS19" s="6">
        <v>1172.973404255319</v>
      </c>
      <c r="AT19" s="6">
        <v>1258.0</v>
      </c>
      <c r="AU19" s="9">
        <v>45004.44598379629</v>
      </c>
      <c r="AV19" s="6">
        <v>113.0</v>
      </c>
      <c r="AW19" s="6">
        <v>1381.2920353982302</v>
      </c>
      <c r="AX19" s="6">
        <v>1394.0</v>
      </c>
      <c r="AY19" s="6"/>
      <c r="AZ19" s="6"/>
      <c r="BA19" s="6"/>
      <c r="BB19" s="6"/>
      <c r="BC19" s="9"/>
      <c r="BD19" s="6"/>
      <c r="BE19" s="9"/>
      <c r="BF19" s="6"/>
      <c r="BG19" s="6"/>
      <c r="BH19" s="6"/>
      <c r="BI19" s="9"/>
    </row>
    <row r="20" ht="14.25" customHeight="1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9"/>
      <c r="AP20" s="6"/>
      <c r="AQ20" s="9"/>
      <c r="AR20" s="11"/>
      <c r="AS20" s="6"/>
      <c r="AT20" s="6"/>
      <c r="AU20" s="9"/>
      <c r="AV20" s="6"/>
      <c r="AW20" s="6"/>
      <c r="AX20" s="6"/>
      <c r="AY20" s="6"/>
      <c r="AZ20" s="6"/>
      <c r="BA20" s="6"/>
      <c r="BB20" s="6"/>
      <c r="BC20" s="9"/>
      <c r="BD20" s="6"/>
      <c r="BE20" s="9"/>
      <c r="BF20" s="6"/>
      <c r="BG20" s="6"/>
      <c r="BH20" s="6"/>
      <c r="BI20" s="9"/>
    </row>
    <row r="21" ht="14.25" customHeight="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9"/>
      <c r="AP21" s="6"/>
      <c r="AQ21" s="9"/>
      <c r="AR21" s="11"/>
      <c r="AS21" s="6"/>
      <c r="AT21" s="6"/>
      <c r="AU21" s="9"/>
      <c r="AV21" s="6"/>
      <c r="AW21" s="6"/>
      <c r="AX21" s="6"/>
      <c r="AY21" s="6"/>
      <c r="AZ21" s="6"/>
      <c r="BA21" s="6"/>
      <c r="BB21" s="6"/>
      <c r="BC21" s="9"/>
      <c r="BD21" s="6"/>
      <c r="BE21" s="9"/>
      <c r="BF21" s="6"/>
      <c r="BG21" s="6"/>
      <c r="BH21" s="6"/>
      <c r="BI21" s="9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ht="14.25" customHeight="1">
      <c r="A25" s="6"/>
      <c r="B25" s="12" t="s">
        <v>0</v>
      </c>
      <c r="C25" s="12" t="s">
        <v>47</v>
      </c>
      <c r="D25" s="6"/>
      <c r="E25" s="12" t="s">
        <v>0</v>
      </c>
      <c r="F25" s="12" t="s">
        <v>48</v>
      </c>
      <c r="G25" s="12" t="s">
        <v>49</v>
      </c>
      <c r="H25" s="6"/>
      <c r="I25" s="12" t="s">
        <v>0</v>
      </c>
      <c r="J25" s="12" t="s">
        <v>50</v>
      </c>
      <c r="K25" s="12" t="s">
        <v>51</v>
      </c>
      <c r="L25" s="12" t="s">
        <v>52</v>
      </c>
      <c r="M25" s="12" t="s">
        <v>53</v>
      </c>
      <c r="N25" s="12" t="s">
        <v>54</v>
      </c>
      <c r="O25" s="6"/>
      <c r="P25" s="12" t="str">
        <f t="shared" ref="P25:P42" si="2">I25</f>
        <v>Mês/ano</v>
      </c>
      <c r="Q25" s="12" t="s">
        <v>50</v>
      </c>
      <c r="R25" s="12" t="s">
        <v>51</v>
      </c>
      <c r="S25" s="12" t="s">
        <v>52</v>
      </c>
      <c r="T25" s="12" t="s">
        <v>53</v>
      </c>
      <c r="U25" s="12" t="s">
        <v>54</v>
      </c>
      <c r="V25" s="6"/>
      <c r="W25" s="12" t="str">
        <f t="shared" ref="W25:W42" si="3">P25</f>
        <v>Mês/ano</v>
      </c>
      <c r="X25" s="12" t="s">
        <v>50</v>
      </c>
      <c r="Y25" s="12" t="s">
        <v>51</v>
      </c>
      <c r="Z25" s="12" t="s">
        <v>52</v>
      </c>
      <c r="AA25" s="12" t="s">
        <v>53</v>
      </c>
      <c r="AB25" s="12" t="s">
        <v>54</v>
      </c>
      <c r="AC25" s="6"/>
      <c r="AD25" s="13" t="s">
        <v>55</v>
      </c>
      <c r="AE25" s="13" t="s">
        <v>56</v>
      </c>
      <c r="AF25" s="6" t="str">
        <f>""</f>
        <v/>
      </c>
      <c r="AG25" s="13" t="s">
        <v>55</v>
      </c>
      <c r="AH25" s="13" t="s">
        <v>57</v>
      </c>
      <c r="AI25" s="13" t="s">
        <v>58</v>
      </c>
      <c r="AJ25" s="6" t="str">
        <f>""</f>
        <v/>
      </c>
      <c r="AK25" s="6"/>
      <c r="AL25" s="12" t="s">
        <v>0</v>
      </c>
      <c r="AM25" s="12" t="s">
        <v>50</v>
      </c>
      <c r="AN25" s="12" t="s">
        <v>51</v>
      </c>
      <c r="AO25" s="12" t="s">
        <v>52</v>
      </c>
      <c r="AP25" s="12" t="s">
        <v>53</v>
      </c>
      <c r="AQ25" s="12" t="s">
        <v>54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ht="14.25" customHeight="1">
      <c r="A26" s="6"/>
      <c r="B26" s="14">
        <f t="shared" ref="B26:B42" si="5">B3</f>
        <v>44501</v>
      </c>
      <c r="C26" s="6">
        <f t="shared" ref="C26:C42" si="6">E3</f>
        <v>32</v>
      </c>
      <c r="D26" s="6"/>
      <c r="E26" s="14">
        <f t="shared" ref="E26:E42" si="7">B26</f>
        <v>44501</v>
      </c>
      <c r="F26" s="15">
        <f t="shared" ref="F26:F42" si="8">C3/E3</f>
        <v>0.96875</v>
      </c>
      <c r="G26" s="15">
        <f t="shared" ref="G26:G42" si="9">D3/E3</f>
        <v>0.03125</v>
      </c>
      <c r="H26" s="6"/>
      <c r="I26" s="14">
        <f t="shared" ref="I26:I42" si="10">E26</f>
        <v>44501</v>
      </c>
      <c r="J26" s="16">
        <f t="shared" ref="J26:N26" si="1">AJ3/$E3</f>
        <v>0.90625</v>
      </c>
      <c r="K26" s="16">
        <f t="shared" si="1"/>
        <v>0.09375</v>
      </c>
      <c r="L26" s="16">
        <f t="shared" si="1"/>
        <v>0</v>
      </c>
      <c r="M26" s="16">
        <f t="shared" si="1"/>
        <v>0</v>
      </c>
      <c r="N26" s="16">
        <f t="shared" si="1"/>
        <v>0</v>
      </c>
      <c r="O26" s="6"/>
      <c r="P26" s="14">
        <f t="shared" si="2"/>
        <v>44501</v>
      </c>
      <c r="Q26" s="17">
        <f t="shared" ref="Q26:Q42" si="12">G3</f>
        <v>1228.022401</v>
      </c>
      <c r="R26" s="17">
        <f t="shared" ref="R26:R42" si="13">J3</f>
        <v>1122.045872</v>
      </c>
      <c r="S26" s="17" t="str">
        <f t="shared" ref="S26:S42" si="14">M3</f>
        <v/>
      </c>
      <c r="T26" s="17" t="str">
        <f t="shared" ref="T26:T42" si="15">P3</f>
        <v/>
      </c>
      <c r="U26" s="17" t="str">
        <f t="shared" ref="U26:U42" si="16">S3</f>
        <v/>
      </c>
      <c r="V26" s="6"/>
      <c r="W26" s="14">
        <f t="shared" si="3"/>
        <v>44501</v>
      </c>
      <c r="X26" s="17">
        <f t="shared" ref="X26:X42" si="17">V3</f>
        <v>1367.75</v>
      </c>
      <c r="Y26" s="17" t="str">
        <f t="shared" ref="Y26:Y42" si="18">Y3</f>
        <v/>
      </c>
      <c r="Z26" s="17" t="str">
        <f t="shared" ref="Z26:Z42" si="19">AB3</f>
        <v/>
      </c>
      <c r="AA26" s="17" t="str">
        <f t="shared" ref="AA26:AA42" si="20">AE3</f>
        <v/>
      </c>
      <c r="AB26" s="17" t="str">
        <f t="shared" ref="AB26:AB42" si="21">AH3</f>
        <v/>
      </c>
      <c r="AC26" s="6"/>
      <c r="AD26" s="18">
        <f>W26</f>
        <v>44501</v>
      </c>
      <c r="AE26" s="6">
        <f>AP3</f>
        <v>1368</v>
      </c>
      <c r="AF26" s="6"/>
      <c r="AG26" s="14">
        <f t="shared" ref="AG26:AG42" si="23">W26</f>
        <v>44501</v>
      </c>
      <c r="AH26" s="6">
        <f t="shared" ref="AH26:AH42" si="24">AR3</f>
        <v>45</v>
      </c>
      <c r="AI26" s="6">
        <f t="shared" ref="AI26:AI42" si="25">AV3</f>
        <v>4</v>
      </c>
      <c r="AJ26" s="6"/>
      <c r="AK26" s="6"/>
      <c r="AL26" s="14">
        <f t="shared" ref="AL26:AL42" si="26">AG26</f>
        <v>44501</v>
      </c>
      <c r="AM26" s="6">
        <f t="shared" ref="AM26:AQ26" si="4">AJ3/$E3</f>
        <v>0.90625</v>
      </c>
      <c r="AN26" s="6">
        <f t="shared" si="4"/>
        <v>0.09375</v>
      </c>
      <c r="AO26" s="6">
        <f t="shared" si="4"/>
        <v>0</v>
      </c>
      <c r="AP26" s="6">
        <f t="shared" si="4"/>
        <v>0</v>
      </c>
      <c r="AQ26" s="6">
        <f t="shared" si="4"/>
        <v>0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ht="14.25" customHeight="1">
      <c r="A27" s="6"/>
      <c r="B27" s="14">
        <f t="shared" si="5"/>
        <v>44531</v>
      </c>
      <c r="C27" s="6">
        <f t="shared" si="6"/>
        <v>260</v>
      </c>
      <c r="D27" s="6"/>
      <c r="E27" s="14">
        <f t="shared" si="7"/>
        <v>44531</v>
      </c>
      <c r="F27" s="15">
        <f t="shared" si="8"/>
        <v>0.7961538462</v>
      </c>
      <c r="G27" s="15">
        <f t="shared" si="9"/>
        <v>0.2038461538</v>
      </c>
      <c r="H27" s="6"/>
      <c r="I27" s="14">
        <f t="shared" si="10"/>
        <v>44531</v>
      </c>
      <c r="J27" s="16">
        <f t="shared" ref="J27:N27" si="11">AJ4/$E4</f>
        <v>0.9153846154</v>
      </c>
      <c r="K27" s="16">
        <f t="shared" si="11"/>
        <v>0.05384615385</v>
      </c>
      <c r="L27" s="16">
        <f t="shared" si="11"/>
        <v>0.01923076923</v>
      </c>
      <c r="M27" s="16">
        <f t="shared" si="11"/>
        <v>0.007692307692</v>
      </c>
      <c r="N27" s="16">
        <f t="shared" si="11"/>
        <v>0.003846153846</v>
      </c>
      <c r="O27" s="6"/>
      <c r="P27" s="14">
        <f t="shared" si="2"/>
        <v>44531</v>
      </c>
      <c r="Q27" s="17">
        <f t="shared" si="12"/>
        <v>1253.781204</v>
      </c>
      <c r="R27" s="17">
        <f t="shared" si="13"/>
        <v>1242.454339</v>
      </c>
      <c r="S27" s="17">
        <f t="shared" si="14"/>
        <v>1185.709382</v>
      </c>
      <c r="T27" s="17">
        <f t="shared" si="15"/>
        <v>1334.421233</v>
      </c>
      <c r="U27" s="17">
        <f t="shared" si="16"/>
        <v>1354.461224</v>
      </c>
      <c r="V27" s="6"/>
      <c r="W27" s="14">
        <f t="shared" si="3"/>
        <v>44531</v>
      </c>
      <c r="X27" s="17">
        <f t="shared" si="17"/>
        <v>1400.676986</v>
      </c>
      <c r="Y27" s="17">
        <f t="shared" si="18"/>
        <v>1389.291667</v>
      </c>
      <c r="Z27" s="17" t="str">
        <f t="shared" si="19"/>
        <v/>
      </c>
      <c r="AA27" s="17" t="str">
        <f t="shared" si="20"/>
        <v/>
      </c>
      <c r="AB27" s="17" t="str">
        <f t="shared" si="21"/>
        <v/>
      </c>
      <c r="AC27" s="6"/>
      <c r="AD27" s="18">
        <f t="shared" ref="AD27:AE27" si="22">AO4</f>
        <v>44544.45416</v>
      </c>
      <c r="AE27" s="6">
        <f t="shared" si="22"/>
        <v>1613</v>
      </c>
      <c r="AF27" s="6"/>
      <c r="AG27" s="14">
        <f t="shared" si="23"/>
        <v>44531</v>
      </c>
      <c r="AH27" s="6">
        <f t="shared" si="24"/>
        <v>245</v>
      </c>
      <c r="AI27" s="6">
        <f t="shared" si="25"/>
        <v>40</v>
      </c>
      <c r="AJ27" s="6"/>
      <c r="AK27" s="6"/>
      <c r="AL27" s="14">
        <f t="shared" si="26"/>
        <v>44531</v>
      </c>
      <c r="AM27" s="6">
        <f t="shared" ref="AM27:AQ27" si="27">AJ4/$E4</f>
        <v>0.9153846154</v>
      </c>
      <c r="AN27" s="6">
        <f t="shared" si="27"/>
        <v>0.05384615385</v>
      </c>
      <c r="AO27" s="6">
        <f t="shared" si="27"/>
        <v>0.01923076923</v>
      </c>
      <c r="AP27" s="6">
        <f t="shared" si="27"/>
        <v>0.007692307692</v>
      </c>
      <c r="AQ27" s="6">
        <f t="shared" si="27"/>
        <v>0.003846153846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ht="14.25" customHeight="1">
      <c r="A28" s="6"/>
      <c r="B28" s="14">
        <f t="shared" si="5"/>
        <v>44562</v>
      </c>
      <c r="C28" s="6">
        <f t="shared" si="6"/>
        <v>231</v>
      </c>
      <c r="D28" s="6"/>
      <c r="E28" s="14">
        <f t="shared" si="7"/>
        <v>44562</v>
      </c>
      <c r="F28" s="15">
        <f t="shared" si="8"/>
        <v>0.5887445887</v>
      </c>
      <c r="G28" s="15">
        <f t="shared" si="9"/>
        <v>0.4112554113</v>
      </c>
      <c r="H28" s="6"/>
      <c r="I28" s="14">
        <f t="shared" si="10"/>
        <v>44562</v>
      </c>
      <c r="J28" s="16">
        <f t="shared" ref="J28:N28" si="28">AJ5/$E5</f>
        <v>0.8831168831</v>
      </c>
      <c r="K28" s="16">
        <f t="shared" si="28"/>
        <v>0.08658008658</v>
      </c>
      <c r="L28" s="16">
        <f t="shared" si="28"/>
        <v>0.0303030303</v>
      </c>
      <c r="M28" s="16">
        <f t="shared" si="28"/>
        <v>0</v>
      </c>
      <c r="N28" s="16">
        <f t="shared" si="28"/>
        <v>0</v>
      </c>
      <c r="O28" s="6"/>
      <c r="P28" s="14">
        <f t="shared" si="2"/>
        <v>44562</v>
      </c>
      <c r="Q28" s="17">
        <f t="shared" si="12"/>
        <v>1285.925199</v>
      </c>
      <c r="R28" s="17">
        <f t="shared" si="13"/>
        <v>1268.633649</v>
      </c>
      <c r="S28" s="17">
        <f t="shared" si="14"/>
        <v>1172.985822</v>
      </c>
      <c r="T28" s="17" t="str">
        <f t="shared" si="15"/>
        <v/>
      </c>
      <c r="U28" s="17" t="str">
        <f t="shared" si="16"/>
        <v/>
      </c>
      <c r="V28" s="6"/>
      <c r="W28" s="14">
        <f t="shared" si="3"/>
        <v>44562</v>
      </c>
      <c r="X28" s="17">
        <f t="shared" si="17"/>
        <v>1399.463859</v>
      </c>
      <c r="Y28" s="17">
        <f t="shared" si="18"/>
        <v>1410.569526</v>
      </c>
      <c r="Z28" s="17">
        <f t="shared" si="19"/>
        <v>1465.285377</v>
      </c>
      <c r="AA28" s="17" t="str">
        <f t="shared" si="20"/>
        <v/>
      </c>
      <c r="AB28" s="17" t="str">
        <f t="shared" si="21"/>
        <v/>
      </c>
      <c r="AC28" s="6"/>
      <c r="AD28" s="18">
        <f t="shared" ref="AD28:AE28" si="29">AO5</f>
        <v>44576.48796</v>
      </c>
      <c r="AE28" s="6">
        <f t="shared" si="29"/>
        <v>1573</v>
      </c>
      <c r="AF28" s="6"/>
      <c r="AG28" s="14">
        <f t="shared" si="23"/>
        <v>44562</v>
      </c>
      <c r="AH28" s="6">
        <f t="shared" si="24"/>
        <v>105</v>
      </c>
      <c r="AI28" s="6">
        <f t="shared" si="25"/>
        <v>106</v>
      </c>
      <c r="AJ28" s="6"/>
      <c r="AK28" s="6"/>
      <c r="AL28" s="14">
        <f t="shared" si="26"/>
        <v>44562</v>
      </c>
      <c r="AM28" s="6">
        <f t="shared" ref="AM28:AQ28" si="30">AJ5/$E5</f>
        <v>0.8831168831</v>
      </c>
      <c r="AN28" s="6">
        <f t="shared" si="30"/>
        <v>0.08658008658</v>
      </c>
      <c r="AO28" s="6">
        <f t="shared" si="30"/>
        <v>0.0303030303</v>
      </c>
      <c r="AP28" s="6">
        <f t="shared" si="30"/>
        <v>0</v>
      </c>
      <c r="AQ28" s="6">
        <f t="shared" si="30"/>
        <v>0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ht="14.25" customHeight="1">
      <c r="A29" s="6"/>
      <c r="B29" s="14">
        <f t="shared" si="5"/>
        <v>44593</v>
      </c>
      <c r="C29" s="6">
        <f t="shared" si="6"/>
        <v>119</v>
      </c>
      <c r="D29" s="6"/>
      <c r="E29" s="14">
        <f t="shared" si="7"/>
        <v>44593</v>
      </c>
      <c r="F29" s="15">
        <f t="shared" si="8"/>
        <v>0.5714285714</v>
      </c>
      <c r="G29" s="15">
        <f t="shared" si="9"/>
        <v>0.4285714286</v>
      </c>
      <c r="H29" s="6"/>
      <c r="I29" s="14">
        <f t="shared" si="10"/>
        <v>44593</v>
      </c>
      <c r="J29" s="16">
        <f t="shared" ref="J29:N29" si="31">AJ6/$E6</f>
        <v>0.8487394958</v>
      </c>
      <c r="K29" s="16">
        <f t="shared" si="31"/>
        <v>0.06722689076</v>
      </c>
      <c r="L29" s="16">
        <f t="shared" si="31"/>
        <v>0.05042016807</v>
      </c>
      <c r="M29" s="16">
        <f t="shared" si="31"/>
        <v>0.02521008403</v>
      </c>
      <c r="N29" s="16">
        <f t="shared" si="31"/>
        <v>0.008403361345</v>
      </c>
      <c r="O29" s="6"/>
      <c r="P29" s="14">
        <f t="shared" si="2"/>
        <v>44593</v>
      </c>
      <c r="Q29" s="17">
        <f t="shared" si="12"/>
        <v>1244.453904</v>
      </c>
      <c r="R29" s="17">
        <f t="shared" si="13"/>
        <v>1176.639077</v>
      </c>
      <c r="S29" s="17">
        <f t="shared" si="14"/>
        <v>1156.254808</v>
      </c>
      <c r="T29" s="17">
        <f t="shared" si="15"/>
        <v>1019.301282</v>
      </c>
      <c r="U29" s="17">
        <f t="shared" si="16"/>
        <v>1346.375661</v>
      </c>
      <c r="V29" s="6"/>
      <c r="W29" s="14">
        <f t="shared" si="3"/>
        <v>44593</v>
      </c>
      <c r="X29" s="17">
        <f t="shared" si="17"/>
        <v>1412.655756</v>
      </c>
      <c r="Y29" s="17">
        <f t="shared" si="18"/>
        <v>1398.777927</v>
      </c>
      <c r="Z29" s="17">
        <f t="shared" si="19"/>
        <v>1399.60214</v>
      </c>
      <c r="AA29" s="17">
        <f t="shared" si="20"/>
        <v>1423.257463</v>
      </c>
      <c r="AB29" s="17" t="str">
        <f t="shared" si="21"/>
        <v/>
      </c>
      <c r="AC29" s="6"/>
      <c r="AD29" s="18">
        <f t="shared" ref="AD29:AE29" si="32">AO6</f>
        <v>44598.49759</v>
      </c>
      <c r="AE29" s="6">
        <f t="shared" si="32"/>
        <v>1574</v>
      </c>
      <c r="AF29" s="6"/>
      <c r="AG29" s="14">
        <f t="shared" si="23"/>
        <v>44593</v>
      </c>
      <c r="AH29" s="6">
        <f t="shared" si="24"/>
        <v>189</v>
      </c>
      <c r="AI29" s="6">
        <f t="shared" si="25"/>
        <v>134</v>
      </c>
      <c r="AJ29" s="6"/>
      <c r="AK29" s="6"/>
      <c r="AL29" s="14">
        <f t="shared" si="26"/>
        <v>44593</v>
      </c>
      <c r="AM29" s="6">
        <f t="shared" ref="AM29:AQ29" si="33">AJ6/$E6</f>
        <v>0.8487394958</v>
      </c>
      <c r="AN29" s="6">
        <f t="shared" si="33"/>
        <v>0.06722689076</v>
      </c>
      <c r="AO29" s="6">
        <f t="shared" si="33"/>
        <v>0.05042016807</v>
      </c>
      <c r="AP29" s="6">
        <f t="shared" si="33"/>
        <v>0.02521008403</v>
      </c>
      <c r="AQ29" s="6">
        <f t="shared" si="33"/>
        <v>0.008403361345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ht="14.25" customHeight="1">
      <c r="A30" s="6"/>
      <c r="B30" s="14">
        <f t="shared" si="5"/>
        <v>44621</v>
      </c>
      <c r="C30" s="6">
        <f t="shared" si="6"/>
        <v>399</v>
      </c>
      <c r="D30" s="6"/>
      <c r="E30" s="14">
        <f t="shared" si="7"/>
        <v>44621</v>
      </c>
      <c r="F30" s="15">
        <f t="shared" si="8"/>
        <v>0.64160401</v>
      </c>
      <c r="G30" s="15">
        <f t="shared" si="9"/>
        <v>0.35839599</v>
      </c>
      <c r="H30" s="6"/>
      <c r="I30" s="14">
        <f t="shared" si="10"/>
        <v>44621</v>
      </c>
      <c r="J30" s="16">
        <f t="shared" ref="J30:N30" si="34">AJ7/$E7</f>
        <v>0.9122807018</v>
      </c>
      <c r="K30" s="16">
        <f t="shared" si="34"/>
        <v>0.05764411028</v>
      </c>
      <c r="L30" s="16">
        <f t="shared" si="34"/>
        <v>0.02756892231</v>
      </c>
      <c r="M30" s="16">
        <f t="shared" si="34"/>
        <v>0.002506265664</v>
      </c>
      <c r="N30" s="16">
        <f t="shared" si="34"/>
        <v>0</v>
      </c>
      <c r="O30" s="6"/>
      <c r="P30" s="14">
        <f t="shared" si="2"/>
        <v>44621</v>
      </c>
      <c r="Q30" s="17">
        <f t="shared" si="12"/>
        <v>1265.265347</v>
      </c>
      <c r="R30" s="17">
        <f t="shared" si="13"/>
        <v>1202.727452</v>
      </c>
      <c r="S30" s="17">
        <f t="shared" si="14"/>
        <v>1236.015419</v>
      </c>
      <c r="T30" s="17">
        <f t="shared" si="15"/>
        <v>1108.233333</v>
      </c>
      <c r="U30" s="17" t="str">
        <f t="shared" si="16"/>
        <v/>
      </c>
      <c r="V30" s="6"/>
      <c r="W30" s="14">
        <f t="shared" si="3"/>
        <v>44621</v>
      </c>
      <c r="X30" s="17">
        <f t="shared" si="17"/>
        <v>1399.18036</v>
      </c>
      <c r="Y30" s="17">
        <f t="shared" si="18"/>
        <v>1394.82912</v>
      </c>
      <c r="Z30" s="17">
        <f t="shared" si="19"/>
        <v>1441.246298</v>
      </c>
      <c r="AA30" s="17" t="str">
        <f t="shared" si="20"/>
        <v/>
      </c>
      <c r="AB30" s="17" t="str">
        <f t="shared" si="21"/>
        <v/>
      </c>
      <c r="AC30" s="6"/>
      <c r="AD30" s="18">
        <f t="shared" ref="AD30:AE30" si="35">AO7</f>
        <v>44645.455</v>
      </c>
      <c r="AE30" s="6">
        <f t="shared" si="35"/>
        <v>1557</v>
      </c>
      <c r="AF30" s="6"/>
      <c r="AG30" s="14">
        <f t="shared" si="23"/>
        <v>44621</v>
      </c>
      <c r="AH30" s="6">
        <f t="shared" si="24"/>
        <v>180</v>
      </c>
      <c r="AI30" s="6">
        <f t="shared" si="25"/>
        <v>95</v>
      </c>
      <c r="AJ30" s="6"/>
      <c r="AK30" s="6"/>
      <c r="AL30" s="14">
        <f t="shared" si="26"/>
        <v>44621</v>
      </c>
      <c r="AM30" s="6">
        <f t="shared" ref="AM30:AQ30" si="36">AJ7/$E7</f>
        <v>0.9122807018</v>
      </c>
      <c r="AN30" s="6">
        <f t="shared" si="36"/>
        <v>0.05764411028</v>
      </c>
      <c r="AO30" s="6">
        <f t="shared" si="36"/>
        <v>0.02756892231</v>
      </c>
      <c r="AP30" s="6">
        <f t="shared" si="36"/>
        <v>0.002506265664</v>
      </c>
      <c r="AQ30" s="6">
        <f t="shared" si="36"/>
        <v>0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ht="14.25" customHeight="1">
      <c r="A31" s="6"/>
      <c r="B31" s="14">
        <f t="shared" si="5"/>
        <v>44652</v>
      </c>
      <c r="C31" s="6">
        <f t="shared" si="6"/>
        <v>541</v>
      </c>
      <c r="D31" s="6"/>
      <c r="E31" s="14">
        <f t="shared" si="7"/>
        <v>44652</v>
      </c>
      <c r="F31" s="15">
        <f t="shared" si="8"/>
        <v>0.8484288355</v>
      </c>
      <c r="G31" s="15">
        <f t="shared" si="9"/>
        <v>0.1515711645</v>
      </c>
      <c r="H31" s="6"/>
      <c r="I31" s="14">
        <f t="shared" si="10"/>
        <v>44652</v>
      </c>
      <c r="J31" s="16">
        <f t="shared" ref="J31:N31" si="37">AJ8/$E8</f>
        <v>0.9445471349</v>
      </c>
      <c r="K31" s="16">
        <f t="shared" si="37"/>
        <v>0.03696857671</v>
      </c>
      <c r="L31" s="16">
        <f t="shared" si="37"/>
        <v>0.01293900185</v>
      </c>
      <c r="M31" s="16">
        <f t="shared" si="37"/>
        <v>0.003696857671</v>
      </c>
      <c r="N31" s="16">
        <f t="shared" si="37"/>
        <v>0.001848428835</v>
      </c>
      <c r="O31" s="6"/>
      <c r="P31" s="14">
        <f t="shared" si="2"/>
        <v>44652</v>
      </c>
      <c r="Q31" s="17">
        <f t="shared" si="12"/>
        <v>1236.673515</v>
      </c>
      <c r="R31" s="17">
        <f t="shared" si="13"/>
        <v>1234.906111</v>
      </c>
      <c r="S31" s="17">
        <f t="shared" si="14"/>
        <v>1241.696812</v>
      </c>
      <c r="T31" s="17">
        <f t="shared" si="15"/>
        <v>1146.679688</v>
      </c>
      <c r="U31" s="17" t="str">
        <f t="shared" si="16"/>
        <v/>
      </c>
      <c r="V31" s="6"/>
      <c r="W31" s="14">
        <f t="shared" si="3"/>
        <v>44652</v>
      </c>
      <c r="X31" s="17">
        <f t="shared" si="17"/>
        <v>1399.718307</v>
      </c>
      <c r="Y31" s="17">
        <f t="shared" si="18"/>
        <v>1423.242739</v>
      </c>
      <c r="Z31" s="17" t="str">
        <f t="shared" si="19"/>
        <v/>
      </c>
      <c r="AA31" s="17">
        <f t="shared" si="20"/>
        <v>1453.526316</v>
      </c>
      <c r="AB31" s="17">
        <f t="shared" si="21"/>
        <v>1433.582031</v>
      </c>
      <c r="AC31" s="6"/>
      <c r="AD31" s="18">
        <f t="shared" ref="AD31:AE31" si="38">AO8</f>
        <v>44663.48424</v>
      </c>
      <c r="AE31" s="6">
        <f t="shared" si="38"/>
        <v>1503</v>
      </c>
      <c r="AF31" s="6"/>
      <c r="AG31" s="14">
        <f t="shared" si="23"/>
        <v>44652</v>
      </c>
      <c r="AH31" s="6">
        <f t="shared" si="24"/>
        <v>128</v>
      </c>
      <c r="AI31" s="6">
        <f t="shared" si="25"/>
        <v>256</v>
      </c>
      <c r="AJ31" s="6"/>
      <c r="AK31" s="6"/>
      <c r="AL31" s="14">
        <f t="shared" si="26"/>
        <v>44652</v>
      </c>
      <c r="AM31" s="6">
        <f t="shared" ref="AM31:AQ31" si="39">AJ8/$E8</f>
        <v>0.9445471349</v>
      </c>
      <c r="AN31" s="6">
        <f t="shared" si="39"/>
        <v>0.03696857671</v>
      </c>
      <c r="AO31" s="6">
        <f t="shared" si="39"/>
        <v>0.01293900185</v>
      </c>
      <c r="AP31" s="6">
        <f t="shared" si="39"/>
        <v>0.003696857671</v>
      </c>
      <c r="AQ31" s="6">
        <f t="shared" si="39"/>
        <v>0.001848428835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ht="14.25" customHeight="1">
      <c r="A32" s="6"/>
      <c r="B32" s="14">
        <f t="shared" si="5"/>
        <v>44682</v>
      </c>
      <c r="C32" s="6">
        <f t="shared" si="6"/>
        <v>439</v>
      </c>
      <c r="D32" s="6"/>
      <c r="E32" s="14">
        <f t="shared" si="7"/>
        <v>44682</v>
      </c>
      <c r="F32" s="15">
        <f t="shared" si="8"/>
        <v>0.993166287</v>
      </c>
      <c r="G32" s="15">
        <f t="shared" si="9"/>
        <v>0.006833712984</v>
      </c>
      <c r="H32" s="6"/>
      <c r="I32" s="14">
        <f t="shared" si="10"/>
        <v>44682</v>
      </c>
      <c r="J32" s="16">
        <f t="shared" ref="J32:N32" si="40">AJ9/$E9</f>
        <v>0.9134396355</v>
      </c>
      <c r="K32" s="16">
        <f t="shared" si="40"/>
        <v>0.06605922551</v>
      </c>
      <c r="L32" s="16">
        <f t="shared" si="40"/>
        <v>0.01366742597</v>
      </c>
      <c r="M32" s="16">
        <f t="shared" si="40"/>
        <v>0.002277904328</v>
      </c>
      <c r="N32" s="16">
        <f t="shared" si="40"/>
        <v>0.004555808656</v>
      </c>
      <c r="O32" s="6"/>
      <c r="P32" s="14">
        <f t="shared" si="2"/>
        <v>44682</v>
      </c>
      <c r="Q32" s="17">
        <f t="shared" si="12"/>
        <v>1176.322038</v>
      </c>
      <c r="R32" s="17">
        <f t="shared" si="13"/>
        <v>1193.051309</v>
      </c>
      <c r="S32" s="17">
        <f t="shared" si="14"/>
        <v>1180.800674</v>
      </c>
      <c r="T32" s="17">
        <f t="shared" si="15"/>
        <v>1169.99187</v>
      </c>
      <c r="U32" s="17">
        <f t="shared" si="16"/>
        <v>1218.065753</v>
      </c>
      <c r="V32" s="6"/>
      <c r="W32" s="14">
        <f t="shared" si="3"/>
        <v>44682</v>
      </c>
      <c r="X32" s="17">
        <f t="shared" si="17"/>
        <v>1368.666667</v>
      </c>
      <c r="Y32" s="17" t="str">
        <f t="shared" si="18"/>
        <v/>
      </c>
      <c r="Z32" s="17" t="str">
        <f t="shared" si="19"/>
        <v/>
      </c>
      <c r="AA32" s="17" t="str">
        <f t="shared" si="20"/>
        <v/>
      </c>
      <c r="AB32" s="17" t="str">
        <f t="shared" si="21"/>
        <v/>
      </c>
      <c r="AC32" s="6"/>
      <c r="AD32" s="18">
        <f t="shared" ref="AD32:AE32" si="41">AO9</f>
        <v>44708.49653</v>
      </c>
      <c r="AE32" s="6">
        <f t="shared" si="41"/>
        <v>1371</v>
      </c>
      <c r="AF32" s="6"/>
      <c r="AG32" s="14">
        <f t="shared" si="23"/>
        <v>44682</v>
      </c>
      <c r="AH32" s="6">
        <f t="shared" si="24"/>
        <v>183</v>
      </c>
      <c r="AI32" s="6">
        <f t="shared" si="25"/>
        <v>1</v>
      </c>
      <c r="AJ32" s="6"/>
      <c r="AK32" s="6"/>
      <c r="AL32" s="14">
        <f t="shared" si="26"/>
        <v>44682</v>
      </c>
      <c r="AM32" s="6">
        <f t="shared" ref="AM32:AQ32" si="42">AJ9/$E9</f>
        <v>0.9134396355</v>
      </c>
      <c r="AN32" s="6">
        <f t="shared" si="42"/>
        <v>0.06605922551</v>
      </c>
      <c r="AO32" s="6">
        <f t="shared" si="42"/>
        <v>0.01366742597</v>
      </c>
      <c r="AP32" s="6">
        <f t="shared" si="42"/>
        <v>0.002277904328</v>
      </c>
      <c r="AQ32" s="6">
        <f t="shared" si="42"/>
        <v>0.004555808656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ht="14.25" customHeight="1">
      <c r="A33" s="6"/>
      <c r="B33" s="14">
        <f t="shared" si="5"/>
        <v>44713</v>
      </c>
      <c r="C33" s="6">
        <f t="shared" si="6"/>
        <v>468</v>
      </c>
      <c r="D33" s="6"/>
      <c r="E33" s="14">
        <f t="shared" si="7"/>
        <v>44713</v>
      </c>
      <c r="F33" s="15">
        <f t="shared" si="8"/>
        <v>0.9978632479</v>
      </c>
      <c r="G33" s="15">
        <f t="shared" si="9"/>
        <v>0.002136752137</v>
      </c>
      <c r="H33" s="6"/>
      <c r="I33" s="14">
        <f t="shared" si="10"/>
        <v>44713</v>
      </c>
      <c r="J33" s="16">
        <f t="shared" ref="J33:N33" si="43">AJ10/$E10</f>
        <v>0.9081196581</v>
      </c>
      <c r="K33" s="16">
        <f t="shared" si="43"/>
        <v>0.06196581197</v>
      </c>
      <c r="L33" s="16">
        <f t="shared" si="43"/>
        <v>0.02777777778</v>
      </c>
      <c r="M33" s="16">
        <f t="shared" si="43"/>
        <v>0.002136752137</v>
      </c>
      <c r="N33" s="16">
        <f t="shared" si="43"/>
        <v>0</v>
      </c>
      <c r="O33" s="6"/>
      <c r="P33" s="14">
        <f t="shared" si="2"/>
        <v>44713</v>
      </c>
      <c r="Q33" s="17">
        <f t="shared" si="12"/>
        <v>1134.173625</v>
      </c>
      <c r="R33" s="17">
        <f t="shared" si="13"/>
        <v>1152.822402</v>
      </c>
      <c r="S33" s="17">
        <f t="shared" si="14"/>
        <v>1182.471694</v>
      </c>
      <c r="T33" s="17">
        <f t="shared" si="15"/>
        <v>1225.532847</v>
      </c>
      <c r="U33" s="17" t="str">
        <f t="shared" si="16"/>
        <v/>
      </c>
      <c r="V33" s="6"/>
      <c r="W33" s="14">
        <f t="shared" si="3"/>
        <v>44713</v>
      </c>
      <c r="X33" s="17">
        <f t="shared" si="17"/>
        <v>1375.333333</v>
      </c>
      <c r="Y33" s="17" t="str">
        <f t="shared" si="18"/>
        <v/>
      </c>
      <c r="Z33" s="17" t="str">
        <f t="shared" si="19"/>
        <v/>
      </c>
      <c r="AA33" s="17" t="str">
        <f t="shared" si="20"/>
        <v/>
      </c>
      <c r="AB33" s="17" t="str">
        <f t="shared" si="21"/>
        <v/>
      </c>
      <c r="AC33" s="6"/>
      <c r="AD33" s="18">
        <f t="shared" ref="AD33:AE33" si="44">AO10</f>
        <v>44718.49936</v>
      </c>
      <c r="AE33" s="6">
        <f t="shared" si="44"/>
        <v>1380</v>
      </c>
      <c r="AF33" s="6"/>
      <c r="AG33" s="14">
        <f t="shared" si="23"/>
        <v>44713</v>
      </c>
      <c r="AH33" s="6">
        <f t="shared" si="24"/>
        <v>137</v>
      </c>
      <c r="AI33" s="6">
        <f t="shared" si="25"/>
        <v>3</v>
      </c>
      <c r="AJ33" s="6"/>
      <c r="AK33" s="6"/>
      <c r="AL33" s="14">
        <f t="shared" si="26"/>
        <v>44713</v>
      </c>
      <c r="AM33" s="6">
        <f t="shared" ref="AM33:AQ33" si="45">AJ10/$E10</f>
        <v>0.9081196581</v>
      </c>
      <c r="AN33" s="6">
        <f t="shared" si="45"/>
        <v>0.06196581197</v>
      </c>
      <c r="AO33" s="6">
        <f t="shared" si="45"/>
        <v>0.02777777778</v>
      </c>
      <c r="AP33" s="6">
        <f t="shared" si="45"/>
        <v>0.002136752137</v>
      </c>
      <c r="AQ33" s="6">
        <f t="shared" si="45"/>
        <v>0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ht="14.25" customHeight="1">
      <c r="A34" s="6"/>
      <c r="B34" s="14">
        <f t="shared" si="5"/>
        <v>44743</v>
      </c>
      <c r="C34" s="6">
        <f t="shared" si="6"/>
        <v>435</v>
      </c>
      <c r="D34" s="6"/>
      <c r="E34" s="14">
        <f t="shared" si="7"/>
        <v>44743</v>
      </c>
      <c r="F34" s="15">
        <f t="shared" si="8"/>
        <v>0.9908045977</v>
      </c>
      <c r="G34" s="15">
        <f t="shared" si="9"/>
        <v>0.009195402299</v>
      </c>
      <c r="H34" s="6"/>
      <c r="I34" s="14">
        <f t="shared" si="10"/>
        <v>44743</v>
      </c>
      <c r="J34" s="16">
        <f t="shared" ref="J34:N34" si="46">AJ11/$E11</f>
        <v>0.8873563218</v>
      </c>
      <c r="K34" s="16">
        <f t="shared" si="46"/>
        <v>0.08275862069</v>
      </c>
      <c r="L34" s="16">
        <f t="shared" si="46"/>
        <v>0.02068965517</v>
      </c>
      <c r="M34" s="16">
        <f t="shared" si="46"/>
        <v>0.009195402299</v>
      </c>
      <c r="N34" s="16">
        <f t="shared" si="46"/>
        <v>0</v>
      </c>
      <c r="O34" s="6"/>
      <c r="P34" s="14">
        <f t="shared" si="2"/>
        <v>44743</v>
      </c>
      <c r="Q34" s="17">
        <f t="shared" si="12"/>
        <v>1144.068733</v>
      </c>
      <c r="R34" s="17">
        <f t="shared" si="13"/>
        <v>1153.273949</v>
      </c>
      <c r="S34" s="17">
        <f t="shared" si="14"/>
        <v>1164.631776</v>
      </c>
      <c r="T34" s="17">
        <f t="shared" si="15"/>
        <v>1118.215142</v>
      </c>
      <c r="U34" s="17" t="str">
        <f t="shared" si="16"/>
        <v/>
      </c>
      <c r="V34" s="6"/>
      <c r="W34" s="14">
        <f t="shared" si="3"/>
        <v>44743</v>
      </c>
      <c r="X34" s="17">
        <f t="shared" si="17"/>
        <v>1406.534722</v>
      </c>
      <c r="Y34" s="17" t="str">
        <f t="shared" si="18"/>
        <v/>
      </c>
      <c r="Z34" s="17" t="str">
        <f t="shared" si="19"/>
        <v/>
      </c>
      <c r="AA34" s="17" t="str">
        <f t="shared" si="20"/>
        <v/>
      </c>
      <c r="AB34" s="17" t="str">
        <f t="shared" si="21"/>
        <v/>
      </c>
      <c r="AC34" s="6"/>
      <c r="AD34" s="18">
        <f t="shared" ref="AD34:AE34" si="47">AO11</f>
        <v>44757.50984</v>
      </c>
      <c r="AE34" s="6">
        <f t="shared" si="47"/>
        <v>1489</v>
      </c>
      <c r="AF34" s="6"/>
      <c r="AG34" s="14">
        <f t="shared" si="23"/>
        <v>44743</v>
      </c>
      <c r="AH34" s="6">
        <f t="shared" si="24"/>
        <v>160</v>
      </c>
      <c r="AI34" s="6">
        <f t="shared" si="25"/>
        <v>14</v>
      </c>
      <c r="AJ34" s="6"/>
      <c r="AK34" s="6"/>
      <c r="AL34" s="14">
        <f t="shared" si="26"/>
        <v>44743</v>
      </c>
      <c r="AM34" s="6">
        <f t="shared" ref="AM34:AQ34" si="48">AJ11/$E11</f>
        <v>0.8873563218</v>
      </c>
      <c r="AN34" s="6">
        <f t="shared" si="48"/>
        <v>0.08275862069</v>
      </c>
      <c r="AO34" s="6">
        <f t="shared" si="48"/>
        <v>0.02068965517</v>
      </c>
      <c r="AP34" s="6">
        <f t="shared" si="48"/>
        <v>0.009195402299</v>
      </c>
      <c r="AQ34" s="6">
        <f t="shared" si="48"/>
        <v>0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ht="14.25" customHeight="1">
      <c r="A35" s="6"/>
      <c r="B35" s="14">
        <f t="shared" si="5"/>
        <v>44774</v>
      </c>
      <c r="C35" s="6">
        <f t="shared" si="6"/>
        <v>699</v>
      </c>
      <c r="D35" s="6"/>
      <c r="E35" s="14">
        <f t="shared" si="7"/>
        <v>44774</v>
      </c>
      <c r="F35" s="15">
        <f t="shared" si="8"/>
        <v>0.8941344778</v>
      </c>
      <c r="G35" s="15">
        <f t="shared" si="9"/>
        <v>0.1058655222</v>
      </c>
      <c r="H35" s="6"/>
      <c r="I35" s="14">
        <f t="shared" si="10"/>
        <v>44774</v>
      </c>
      <c r="J35" s="16">
        <f t="shared" ref="J35:N35" si="49">AJ12/$E12</f>
        <v>0.9256080114</v>
      </c>
      <c r="K35" s="16">
        <f t="shared" si="49"/>
        <v>0.05436337625</v>
      </c>
      <c r="L35" s="16">
        <f t="shared" si="49"/>
        <v>0.01287553648</v>
      </c>
      <c r="M35" s="16">
        <f t="shared" si="49"/>
        <v>0.007153075823</v>
      </c>
      <c r="N35" s="16">
        <f t="shared" si="49"/>
        <v>0</v>
      </c>
      <c r="O35" s="6"/>
      <c r="P35" s="14">
        <f t="shared" si="2"/>
        <v>44774</v>
      </c>
      <c r="Q35" s="17">
        <f t="shared" si="12"/>
        <v>1203.029531</v>
      </c>
      <c r="R35" s="17">
        <f t="shared" si="13"/>
        <v>1222.78101</v>
      </c>
      <c r="S35" s="17">
        <f t="shared" si="14"/>
        <v>1227.447958</v>
      </c>
      <c r="T35" s="17">
        <f t="shared" si="15"/>
        <v>1235.596415</v>
      </c>
      <c r="U35" s="17" t="str">
        <f t="shared" si="16"/>
        <v/>
      </c>
      <c r="V35" s="6"/>
      <c r="W35" s="14">
        <f t="shared" si="3"/>
        <v>44774</v>
      </c>
      <c r="X35" s="17">
        <f t="shared" si="17"/>
        <v>1396.301895</v>
      </c>
      <c r="Y35" s="17">
        <f t="shared" si="18"/>
        <v>1396.827273</v>
      </c>
      <c r="Z35" s="17" t="str">
        <f t="shared" si="19"/>
        <v/>
      </c>
      <c r="AA35" s="17" t="str">
        <f t="shared" si="20"/>
        <v/>
      </c>
      <c r="AB35" s="17" t="str">
        <f t="shared" si="21"/>
        <v/>
      </c>
      <c r="AC35" s="6"/>
      <c r="AD35" s="18">
        <f t="shared" ref="AD35:AE35" si="50">AO12</f>
        <v>44788.45804</v>
      </c>
      <c r="AE35" s="6">
        <f t="shared" si="50"/>
        <v>1469</v>
      </c>
      <c r="AF35" s="6"/>
      <c r="AG35" s="14">
        <f t="shared" si="23"/>
        <v>44774</v>
      </c>
      <c r="AH35" s="6">
        <f t="shared" si="24"/>
        <v>151</v>
      </c>
      <c r="AI35" s="6">
        <f t="shared" si="25"/>
        <v>46</v>
      </c>
      <c r="AJ35" s="6"/>
      <c r="AK35" s="6"/>
      <c r="AL35" s="14">
        <f t="shared" si="26"/>
        <v>44774</v>
      </c>
      <c r="AM35" s="6">
        <f t="shared" ref="AM35:AQ35" si="51">AJ12/$E12</f>
        <v>0.9256080114</v>
      </c>
      <c r="AN35" s="6">
        <f t="shared" si="51"/>
        <v>0.05436337625</v>
      </c>
      <c r="AO35" s="6">
        <f t="shared" si="51"/>
        <v>0.01287553648</v>
      </c>
      <c r="AP35" s="6">
        <f t="shared" si="51"/>
        <v>0.007153075823</v>
      </c>
      <c r="AQ35" s="6">
        <f t="shared" si="51"/>
        <v>0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ht="14.25" customHeight="1">
      <c r="A36" s="6"/>
      <c r="B36" s="14">
        <f t="shared" si="5"/>
        <v>44805</v>
      </c>
      <c r="C36" s="6">
        <f t="shared" si="6"/>
        <v>449</v>
      </c>
      <c r="D36" s="6"/>
      <c r="E36" s="14">
        <f t="shared" si="7"/>
        <v>44805</v>
      </c>
      <c r="F36" s="15">
        <f t="shared" si="8"/>
        <v>0.864142539</v>
      </c>
      <c r="G36" s="15">
        <f t="shared" si="9"/>
        <v>0.135857461</v>
      </c>
      <c r="H36" s="6"/>
      <c r="I36" s="14">
        <f t="shared" si="10"/>
        <v>44805</v>
      </c>
      <c r="J36" s="16">
        <f t="shared" ref="J36:N36" si="52">AJ13/$E13</f>
        <v>0.8841870824</v>
      </c>
      <c r="K36" s="16">
        <f t="shared" si="52"/>
        <v>0.0846325167</v>
      </c>
      <c r="L36" s="16">
        <f t="shared" si="52"/>
        <v>0.02449888641</v>
      </c>
      <c r="M36" s="16">
        <f t="shared" si="52"/>
        <v>0.006681514477</v>
      </c>
      <c r="N36" s="16">
        <f t="shared" si="52"/>
        <v>0</v>
      </c>
      <c r="O36" s="6"/>
      <c r="P36" s="14">
        <f t="shared" si="2"/>
        <v>44805</v>
      </c>
      <c r="Q36" s="17">
        <f t="shared" si="12"/>
        <v>1200.0426</v>
      </c>
      <c r="R36" s="17">
        <f t="shared" si="13"/>
        <v>1196.797896</v>
      </c>
      <c r="S36" s="17">
        <f t="shared" si="14"/>
        <v>1198.843935</v>
      </c>
      <c r="T36" s="17">
        <f t="shared" si="15"/>
        <v>1245.860882</v>
      </c>
      <c r="U36" s="17" t="str">
        <f t="shared" si="16"/>
        <v/>
      </c>
      <c r="V36" s="6"/>
      <c r="W36" s="14">
        <f t="shared" si="3"/>
        <v>44805</v>
      </c>
      <c r="X36" s="17">
        <f t="shared" si="17"/>
        <v>1400.118745</v>
      </c>
      <c r="Y36" s="17">
        <f t="shared" si="18"/>
        <v>1433.948307</v>
      </c>
      <c r="Z36" s="17">
        <f t="shared" si="19"/>
        <v>1478.028986</v>
      </c>
      <c r="AA36" s="17" t="str">
        <f t="shared" si="20"/>
        <v/>
      </c>
      <c r="AB36" s="17" t="str">
        <f t="shared" si="21"/>
        <v/>
      </c>
      <c r="AC36" s="6"/>
      <c r="AD36" s="18">
        <f t="shared" ref="AD36:AE36" si="53">AO13</f>
        <v>44826.44066</v>
      </c>
      <c r="AE36" s="6">
        <f t="shared" si="53"/>
        <v>1513</v>
      </c>
      <c r="AF36" s="6"/>
      <c r="AG36" s="14">
        <f t="shared" si="23"/>
        <v>44805</v>
      </c>
      <c r="AH36" s="6">
        <f t="shared" si="24"/>
        <v>156</v>
      </c>
      <c r="AI36" s="6">
        <f t="shared" si="25"/>
        <v>69</v>
      </c>
      <c r="AJ36" s="6"/>
      <c r="AK36" s="6"/>
      <c r="AL36" s="14">
        <f t="shared" si="26"/>
        <v>44805</v>
      </c>
      <c r="AM36" s="6">
        <f t="shared" ref="AM36:AQ36" si="54">AJ13/$E13</f>
        <v>0.8841870824</v>
      </c>
      <c r="AN36" s="6">
        <f t="shared" si="54"/>
        <v>0.0846325167</v>
      </c>
      <c r="AO36" s="6">
        <f t="shared" si="54"/>
        <v>0.02449888641</v>
      </c>
      <c r="AP36" s="6">
        <f t="shared" si="54"/>
        <v>0.006681514477</v>
      </c>
      <c r="AQ36" s="6">
        <f t="shared" si="54"/>
        <v>0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ht="14.25" customHeight="1">
      <c r="A37" s="6"/>
      <c r="B37" s="14">
        <f t="shared" si="5"/>
        <v>44835</v>
      </c>
      <c r="C37" s="6">
        <f t="shared" si="6"/>
        <v>140</v>
      </c>
      <c r="D37" s="6"/>
      <c r="E37" s="14">
        <f t="shared" si="7"/>
        <v>44835</v>
      </c>
      <c r="F37" s="15">
        <f t="shared" si="8"/>
        <v>0.6428571429</v>
      </c>
      <c r="G37" s="15">
        <f t="shared" si="9"/>
        <v>0.3571428571</v>
      </c>
      <c r="H37" s="6"/>
      <c r="I37" s="14">
        <f t="shared" si="10"/>
        <v>44835</v>
      </c>
      <c r="J37" s="16">
        <f t="shared" ref="J37:N37" si="55">AJ14/$E14</f>
        <v>0.9142857143</v>
      </c>
      <c r="K37" s="16">
        <f t="shared" si="55"/>
        <v>0.07142857143</v>
      </c>
      <c r="L37" s="16">
        <f t="shared" si="55"/>
        <v>0.01428571429</v>
      </c>
      <c r="M37" s="16">
        <f t="shared" si="55"/>
        <v>0</v>
      </c>
      <c r="N37" s="16">
        <f t="shared" si="55"/>
        <v>0</v>
      </c>
      <c r="O37" s="6"/>
      <c r="P37" s="14">
        <f t="shared" si="2"/>
        <v>44835</v>
      </c>
      <c r="Q37" s="17">
        <f t="shared" si="12"/>
        <v>1277.092078</v>
      </c>
      <c r="R37" s="17">
        <f t="shared" si="13"/>
        <v>1245.753931</v>
      </c>
      <c r="S37" s="17">
        <f t="shared" si="14"/>
        <v>1044.934426</v>
      </c>
      <c r="T37" s="17" t="str">
        <f t="shared" si="15"/>
        <v/>
      </c>
      <c r="U37" s="17" t="str">
        <f t="shared" si="16"/>
        <v/>
      </c>
      <c r="V37" s="6"/>
      <c r="W37" s="14">
        <f t="shared" si="3"/>
        <v>44835</v>
      </c>
      <c r="X37" s="17">
        <f t="shared" si="17"/>
        <v>1392.202467</v>
      </c>
      <c r="Y37" s="17">
        <f t="shared" si="18"/>
        <v>1402.805392</v>
      </c>
      <c r="Z37" s="17">
        <f t="shared" si="19"/>
        <v>1399.986667</v>
      </c>
      <c r="AA37" s="17" t="str">
        <f t="shared" si="20"/>
        <v/>
      </c>
      <c r="AB37" s="17" t="str">
        <f t="shared" si="21"/>
        <v/>
      </c>
      <c r="AC37" s="6"/>
      <c r="AD37" s="18">
        <f t="shared" ref="AD37:AE37" si="56">AO14</f>
        <v>44858.45904</v>
      </c>
      <c r="AE37" s="6">
        <f t="shared" si="56"/>
        <v>1506</v>
      </c>
      <c r="AF37" s="6"/>
      <c r="AG37" s="14">
        <f t="shared" si="23"/>
        <v>44835</v>
      </c>
      <c r="AH37" s="6">
        <f t="shared" si="24"/>
        <v>61</v>
      </c>
      <c r="AI37" s="6">
        <f t="shared" si="25"/>
        <v>75</v>
      </c>
      <c r="AJ37" s="6"/>
      <c r="AK37" s="6"/>
      <c r="AL37" s="14">
        <f t="shared" si="26"/>
        <v>44835</v>
      </c>
      <c r="AM37" s="6">
        <f t="shared" ref="AM37:AQ37" si="57">AJ14/$E14</f>
        <v>0.9142857143</v>
      </c>
      <c r="AN37" s="6">
        <f t="shared" si="57"/>
        <v>0.07142857143</v>
      </c>
      <c r="AO37" s="6">
        <f t="shared" si="57"/>
        <v>0.01428571429</v>
      </c>
      <c r="AP37" s="6">
        <f t="shared" si="57"/>
        <v>0</v>
      </c>
      <c r="AQ37" s="6">
        <f t="shared" si="57"/>
        <v>0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ht="14.25" customHeight="1">
      <c r="A38" s="6"/>
      <c r="B38" s="14">
        <f t="shared" si="5"/>
        <v>44866</v>
      </c>
      <c r="C38" s="6">
        <f t="shared" si="6"/>
        <v>329</v>
      </c>
      <c r="D38" s="6"/>
      <c r="E38" s="14">
        <f t="shared" si="7"/>
        <v>44866</v>
      </c>
      <c r="F38" s="15">
        <f t="shared" si="8"/>
        <v>0.6778115502</v>
      </c>
      <c r="G38" s="15">
        <f t="shared" si="9"/>
        <v>0.3221884498</v>
      </c>
      <c r="H38" s="6"/>
      <c r="I38" s="14">
        <f t="shared" si="10"/>
        <v>44866</v>
      </c>
      <c r="J38" s="16">
        <f t="shared" ref="J38:N38" si="58">AJ15/$E15</f>
        <v>0.8480243161</v>
      </c>
      <c r="K38" s="16">
        <f t="shared" si="58"/>
        <v>0.06686930091</v>
      </c>
      <c r="L38" s="16">
        <f t="shared" si="58"/>
        <v>0.07294832827</v>
      </c>
      <c r="M38" s="16">
        <f t="shared" si="58"/>
        <v>0.01215805471</v>
      </c>
      <c r="N38" s="16">
        <f t="shared" si="58"/>
        <v>0</v>
      </c>
      <c r="O38" s="6"/>
      <c r="P38" s="14">
        <f t="shared" si="2"/>
        <v>44866</v>
      </c>
      <c r="Q38" s="17">
        <f t="shared" si="12"/>
        <v>1223.983682</v>
      </c>
      <c r="R38" s="17">
        <f t="shared" si="13"/>
        <v>1130.893345</v>
      </c>
      <c r="S38" s="17">
        <f t="shared" si="14"/>
        <v>1213.15624</v>
      </c>
      <c r="T38" s="17">
        <f t="shared" si="15"/>
        <v>1266.1559</v>
      </c>
      <c r="U38" s="17" t="str">
        <f t="shared" si="16"/>
        <v/>
      </c>
      <c r="V38" s="6"/>
      <c r="W38" s="14">
        <f t="shared" si="3"/>
        <v>44866</v>
      </c>
      <c r="X38" s="17">
        <f t="shared" si="17"/>
        <v>1420.010408</v>
      </c>
      <c r="Y38" s="17">
        <f t="shared" si="18"/>
        <v>1414.948429</v>
      </c>
      <c r="Z38" s="17">
        <f t="shared" si="19"/>
        <v>1417.131278</v>
      </c>
      <c r="AA38" s="17" t="str">
        <f t="shared" si="20"/>
        <v/>
      </c>
      <c r="AB38" s="17" t="str">
        <f t="shared" si="21"/>
        <v/>
      </c>
      <c r="AC38" s="6"/>
      <c r="AD38" s="18">
        <f t="shared" ref="AD38:AE38" si="59">AO15</f>
        <v>44870.50329</v>
      </c>
      <c r="AE38" s="6">
        <f t="shared" si="59"/>
        <v>1651</v>
      </c>
      <c r="AF38" s="6"/>
      <c r="AG38" s="14">
        <f t="shared" si="23"/>
        <v>44866</v>
      </c>
      <c r="AH38" s="6">
        <f t="shared" si="24"/>
        <v>468</v>
      </c>
      <c r="AI38" s="6">
        <f t="shared" si="25"/>
        <v>107</v>
      </c>
      <c r="AJ38" s="6"/>
      <c r="AK38" s="6"/>
      <c r="AL38" s="14">
        <f t="shared" si="26"/>
        <v>44866</v>
      </c>
      <c r="AM38" s="6">
        <f t="shared" ref="AM38:AQ38" si="60">AJ15/$E15</f>
        <v>0.8480243161</v>
      </c>
      <c r="AN38" s="6">
        <f t="shared" si="60"/>
        <v>0.06686930091</v>
      </c>
      <c r="AO38" s="6">
        <f t="shared" si="60"/>
        <v>0.07294832827</v>
      </c>
      <c r="AP38" s="6">
        <f t="shared" si="60"/>
        <v>0.01215805471</v>
      </c>
      <c r="AQ38" s="6">
        <f t="shared" si="60"/>
        <v>0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ht="14.25" customHeight="1">
      <c r="A39" s="6"/>
      <c r="B39" s="14">
        <f t="shared" si="5"/>
        <v>44896</v>
      </c>
      <c r="C39" s="6">
        <f t="shared" si="6"/>
        <v>275</v>
      </c>
      <c r="D39" s="6"/>
      <c r="E39" s="14">
        <f t="shared" si="7"/>
        <v>44896</v>
      </c>
      <c r="F39" s="15">
        <f t="shared" si="8"/>
        <v>0.7709090909</v>
      </c>
      <c r="G39" s="15">
        <f t="shared" si="9"/>
        <v>0.2290909091</v>
      </c>
      <c r="H39" s="6"/>
      <c r="I39" s="14">
        <f t="shared" si="10"/>
        <v>44896</v>
      </c>
      <c r="J39" s="16">
        <f t="shared" ref="J39:N39" si="61">AJ16/$E16</f>
        <v>0.9090909091</v>
      </c>
      <c r="K39" s="16">
        <f t="shared" si="61"/>
        <v>0.05454545455</v>
      </c>
      <c r="L39" s="16">
        <f t="shared" si="61"/>
        <v>0.02181818182</v>
      </c>
      <c r="M39" s="16">
        <f t="shared" si="61"/>
        <v>0.01454545455</v>
      </c>
      <c r="N39" s="16">
        <f t="shared" si="61"/>
        <v>0</v>
      </c>
      <c r="O39" s="6"/>
      <c r="P39" s="14">
        <f t="shared" si="2"/>
        <v>44896</v>
      </c>
      <c r="Q39" s="17">
        <f t="shared" si="12"/>
        <v>1223.756912</v>
      </c>
      <c r="R39" s="17">
        <f t="shared" si="13"/>
        <v>1250.745737</v>
      </c>
      <c r="S39" s="17">
        <f t="shared" si="14"/>
        <v>1212.626369</v>
      </c>
      <c r="T39" s="17">
        <f t="shared" si="15"/>
        <v>1137.443333</v>
      </c>
      <c r="U39" s="17" t="str">
        <f t="shared" si="16"/>
        <v/>
      </c>
      <c r="V39" s="6"/>
      <c r="W39" s="14">
        <f t="shared" si="3"/>
        <v>44896</v>
      </c>
      <c r="X39" s="17">
        <f t="shared" si="17"/>
        <v>1395.265393</v>
      </c>
      <c r="Y39" s="17">
        <f t="shared" si="18"/>
        <v>1396.191173</v>
      </c>
      <c r="Z39" s="17">
        <f t="shared" si="19"/>
        <v>1406.043417</v>
      </c>
      <c r="AA39" s="17">
        <f t="shared" si="20"/>
        <v>1395.63125</v>
      </c>
      <c r="AB39" s="17" t="str">
        <f t="shared" si="21"/>
        <v/>
      </c>
      <c r="AC39" s="6"/>
      <c r="AD39" s="18">
        <f t="shared" ref="AD39:AE39" si="62">AO16</f>
        <v>44900.48583</v>
      </c>
      <c r="AE39" s="6">
        <f t="shared" si="62"/>
        <v>1571</v>
      </c>
      <c r="AF39" s="6"/>
      <c r="AG39" s="14">
        <f t="shared" si="23"/>
        <v>44896</v>
      </c>
      <c r="AH39" s="6">
        <f t="shared" si="24"/>
        <v>264</v>
      </c>
      <c r="AI39" s="6">
        <f t="shared" si="25"/>
        <v>160</v>
      </c>
      <c r="AJ39" s="6"/>
      <c r="AK39" s="6"/>
      <c r="AL39" s="14">
        <f t="shared" si="26"/>
        <v>44896</v>
      </c>
      <c r="AM39" s="6">
        <f t="shared" ref="AM39:AQ39" si="63">AJ16/$E16</f>
        <v>0.9090909091</v>
      </c>
      <c r="AN39" s="6">
        <f t="shared" si="63"/>
        <v>0.05454545455</v>
      </c>
      <c r="AO39" s="6">
        <f t="shared" si="63"/>
        <v>0.02181818182</v>
      </c>
      <c r="AP39" s="6">
        <f t="shared" si="63"/>
        <v>0.01454545455</v>
      </c>
      <c r="AQ39" s="6">
        <f t="shared" si="63"/>
        <v>0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ht="14.25" customHeight="1">
      <c r="A40" s="6"/>
      <c r="B40" s="14">
        <f t="shared" si="5"/>
        <v>44927</v>
      </c>
      <c r="C40" s="6">
        <f t="shared" si="6"/>
        <v>86</v>
      </c>
      <c r="D40" s="6"/>
      <c r="E40" s="14">
        <f t="shared" si="7"/>
        <v>44927</v>
      </c>
      <c r="F40" s="15">
        <f t="shared" si="8"/>
        <v>0.8023255814</v>
      </c>
      <c r="G40" s="15">
        <f t="shared" si="9"/>
        <v>0.1976744186</v>
      </c>
      <c r="H40" s="6"/>
      <c r="I40" s="14">
        <f t="shared" si="10"/>
        <v>44927</v>
      </c>
      <c r="J40" s="16">
        <f t="shared" ref="J40:N40" si="64">AJ17/$E17</f>
        <v>0.9302325581</v>
      </c>
      <c r="K40" s="16">
        <f t="shared" si="64"/>
        <v>0.04651162791</v>
      </c>
      <c r="L40" s="16">
        <f t="shared" si="64"/>
        <v>0.02325581395</v>
      </c>
      <c r="M40" s="16">
        <f t="shared" si="64"/>
        <v>0</v>
      </c>
      <c r="N40" s="16">
        <f t="shared" si="64"/>
        <v>0</v>
      </c>
      <c r="O40" s="6"/>
      <c r="P40" s="14">
        <f t="shared" si="2"/>
        <v>44927</v>
      </c>
      <c r="Q40" s="17">
        <f t="shared" si="12"/>
        <v>1239.102845</v>
      </c>
      <c r="R40" s="17">
        <f t="shared" si="13"/>
        <v>1253.015402</v>
      </c>
      <c r="S40" s="17">
        <f t="shared" si="14"/>
        <v>1303.257143</v>
      </c>
      <c r="T40" s="17" t="str">
        <f t="shared" si="15"/>
        <v/>
      </c>
      <c r="U40" s="17" t="str">
        <f t="shared" si="16"/>
        <v/>
      </c>
      <c r="V40" s="6"/>
      <c r="W40" s="14">
        <f t="shared" si="3"/>
        <v>44927</v>
      </c>
      <c r="X40" s="17">
        <f t="shared" si="17"/>
        <v>1379.450848</v>
      </c>
      <c r="Y40" s="17" t="str">
        <f t="shared" si="18"/>
        <v/>
      </c>
      <c r="Z40" s="17">
        <f t="shared" si="19"/>
        <v>1384.52459</v>
      </c>
      <c r="AA40" s="17" t="str">
        <f t="shared" si="20"/>
        <v/>
      </c>
      <c r="AB40" s="17" t="str">
        <f t="shared" si="21"/>
        <v/>
      </c>
      <c r="AC40" s="6"/>
      <c r="AD40" s="18">
        <f t="shared" ref="AD40:AE40" si="65">AO17</f>
        <v>44954.44868</v>
      </c>
      <c r="AE40" s="6">
        <f t="shared" si="65"/>
        <v>1403</v>
      </c>
      <c r="AF40" s="6"/>
      <c r="AG40" s="14">
        <f t="shared" si="23"/>
        <v>44927</v>
      </c>
      <c r="AH40" s="6">
        <f t="shared" si="24"/>
        <v>105</v>
      </c>
      <c r="AI40" s="6">
        <f t="shared" si="25"/>
        <v>61</v>
      </c>
      <c r="AJ40" s="6"/>
      <c r="AK40" s="6"/>
      <c r="AL40" s="14">
        <f t="shared" si="26"/>
        <v>44927</v>
      </c>
      <c r="AM40" s="6">
        <f t="shared" ref="AM40:AQ40" si="66">AJ17/$E17</f>
        <v>0.9302325581</v>
      </c>
      <c r="AN40" s="6">
        <f t="shared" si="66"/>
        <v>0.04651162791</v>
      </c>
      <c r="AO40" s="6">
        <f t="shared" si="66"/>
        <v>0.02325581395</v>
      </c>
      <c r="AP40" s="6">
        <f t="shared" si="66"/>
        <v>0</v>
      </c>
      <c r="AQ40" s="6">
        <f t="shared" si="66"/>
        <v>0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ht="14.25" customHeight="1">
      <c r="A41" s="6"/>
      <c r="B41" s="14">
        <f t="shared" si="5"/>
        <v>44958</v>
      </c>
      <c r="C41" s="6">
        <f t="shared" si="6"/>
        <v>193</v>
      </c>
      <c r="D41" s="6"/>
      <c r="E41" s="14">
        <f t="shared" si="7"/>
        <v>44958</v>
      </c>
      <c r="F41" s="15">
        <f t="shared" si="8"/>
        <v>0.4974093264</v>
      </c>
      <c r="G41" s="15">
        <f t="shared" si="9"/>
        <v>0.5025906736</v>
      </c>
      <c r="H41" s="6"/>
      <c r="I41" s="14">
        <f t="shared" si="10"/>
        <v>44958</v>
      </c>
      <c r="J41" s="16">
        <f t="shared" ref="J41:N41" si="67">AJ18/$E18</f>
        <v>0.9378238342</v>
      </c>
      <c r="K41" s="16">
        <f t="shared" si="67"/>
        <v>0.0310880829</v>
      </c>
      <c r="L41" s="16">
        <f t="shared" si="67"/>
        <v>0.01554404145</v>
      </c>
      <c r="M41" s="16">
        <f t="shared" si="67"/>
        <v>0.00518134715</v>
      </c>
      <c r="N41" s="16">
        <f t="shared" si="67"/>
        <v>0.0103626943</v>
      </c>
      <c r="O41" s="6"/>
      <c r="P41" s="14">
        <f t="shared" si="2"/>
        <v>44958</v>
      </c>
      <c r="Q41" s="17">
        <f t="shared" si="12"/>
        <v>1244.623547</v>
      </c>
      <c r="R41" s="17">
        <f t="shared" si="13"/>
        <v>1251.210211</v>
      </c>
      <c r="S41" s="17">
        <f t="shared" si="14"/>
        <v>1335.770402</v>
      </c>
      <c r="T41" s="17" t="str">
        <f t="shared" si="15"/>
        <v/>
      </c>
      <c r="U41" s="17">
        <f t="shared" si="16"/>
        <v>1189.793869</v>
      </c>
      <c r="V41" s="6"/>
      <c r="W41" s="14">
        <f t="shared" si="3"/>
        <v>44958</v>
      </c>
      <c r="X41" s="17">
        <f t="shared" si="17"/>
        <v>1404.674829</v>
      </c>
      <c r="Y41" s="17">
        <f t="shared" si="18"/>
        <v>1422.608635</v>
      </c>
      <c r="Z41" s="17">
        <f t="shared" si="19"/>
        <v>1409.061404</v>
      </c>
      <c r="AA41" s="17">
        <f t="shared" si="20"/>
        <v>1431.212598</v>
      </c>
      <c r="AB41" s="17" t="str">
        <f t="shared" si="21"/>
        <v/>
      </c>
      <c r="AC41" s="6"/>
      <c r="AD41" s="18">
        <f t="shared" ref="AD41:AE41" si="68">AO18</f>
        <v>44958.50125</v>
      </c>
      <c r="AE41" s="6">
        <f t="shared" si="68"/>
        <v>1550</v>
      </c>
      <c r="AF41" s="6"/>
      <c r="AG41" s="14">
        <f t="shared" si="23"/>
        <v>44958</v>
      </c>
      <c r="AH41" s="6">
        <f t="shared" si="24"/>
        <v>1979</v>
      </c>
      <c r="AI41" s="6">
        <f t="shared" si="25"/>
        <v>127</v>
      </c>
      <c r="AJ41" s="6"/>
      <c r="AK41" s="6"/>
      <c r="AL41" s="14">
        <f t="shared" si="26"/>
        <v>44958</v>
      </c>
      <c r="AM41" s="6">
        <f t="shared" ref="AM41:AQ41" si="69">AJ18/$E18</f>
        <v>0.9378238342</v>
      </c>
      <c r="AN41" s="6">
        <f t="shared" si="69"/>
        <v>0.0310880829</v>
      </c>
      <c r="AO41" s="6">
        <f t="shared" si="69"/>
        <v>0.01554404145</v>
      </c>
      <c r="AP41" s="6">
        <f t="shared" si="69"/>
        <v>0.00518134715</v>
      </c>
      <c r="AQ41" s="6">
        <f t="shared" si="69"/>
        <v>0.0103626943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ht="14.25" customHeight="1">
      <c r="A42" s="6"/>
      <c r="B42" s="14">
        <f t="shared" si="5"/>
        <v>44986</v>
      </c>
      <c r="C42" s="6">
        <f t="shared" si="6"/>
        <v>309</v>
      </c>
      <c r="D42" s="6"/>
      <c r="E42" s="14">
        <f t="shared" si="7"/>
        <v>44986</v>
      </c>
      <c r="F42" s="15">
        <f t="shared" si="8"/>
        <v>0.7411003236</v>
      </c>
      <c r="G42" s="15">
        <f t="shared" si="9"/>
        <v>0.2588996764</v>
      </c>
      <c r="H42" s="6"/>
      <c r="I42" s="14">
        <f t="shared" si="10"/>
        <v>44986</v>
      </c>
      <c r="J42" s="16">
        <f t="shared" ref="J42:N42" si="70">AJ19/$E19</f>
        <v>0.8996763754</v>
      </c>
      <c r="K42" s="16">
        <f t="shared" si="70"/>
        <v>0.05501618123</v>
      </c>
      <c r="L42" s="16">
        <f t="shared" si="70"/>
        <v>0.04207119741</v>
      </c>
      <c r="M42" s="16">
        <f t="shared" si="70"/>
        <v>0</v>
      </c>
      <c r="N42" s="16">
        <f t="shared" si="70"/>
        <v>0.003236245955</v>
      </c>
      <c r="O42" s="6"/>
      <c r="P42" s="14">
        <f t="shared" si="2"/>
        <v>44986</v>
      </c>
      <c r="Q42" s="17">
        <f t="shared" si="12"/>
        <v>1269.425871</v>
      </c>
      <c r="R42" s="17">
        <f t="shared" si="13"/>
        <v>1207.828593</v>
      </c>
      <c r="S42" s="17">
        <f t="shared" si="14"/>
        <v>1242.338047</v>
      </c>
      <c r="T42" s="17" t="str">
        <f t="shared" si="15"/>
        <v/>
      </c>
      <c r="U42" s="17">
        <f t="shared" si="16"/>
        <v>1172.973404</v>
      </c>
      <c r="V42" s="6"/>
      <c r="W42" s="14">
        <f t="shared" si="3"/>
        <v>44986</v>
      </c>
      <c r="X42" s="17">
        <f t="shared" si="17"/>
        <v>1404.247599</v>
      </c>
      <c r="Y42" s="17">
        <f t="shared" si="18"/>
        <v>1405.747847</v>
      </c>
      <c r="Z42" s="17">
        <f t="shared" si="19"/>
        <v>1420.595874</v>
      </c>
      <c r="AA42" s="17" t="str">
        <f t="shared" si="20"/>
        <v/>
      </c>
      <c r="AB42" s="17" t="str">
        <f t="shared" si="21"/>
        <v/>
      </c>
      <c r="AC42" s="6"/>
      <c r="AD42" s="18">
        <f t="shared" ref="AD42:AE42" si="71">AO19</f>
        <v>45010.50479</v>
      </c>
      <c r="AE42" s="6">
        <f t="shared" si="71"/>
        <v>1551</v>
      </c>
      <c r="AF42" s="6"/>
      <c r="AG42" s="14">
        <f t="shared" si="23"/>
        <v>44986</v>
      </c>
      <c r="AH42" s="6">
        <f t="shared" si="24"/>
        <v>188</v>
      </c>
      <c r="AI42" s="6">
        <f t="shared" si="25"/>
        <v>113</v>
      </c>
      <c r="AJ42" s="6"/>
      <c r="AK42" s="6"/>
      <c r="AL42" s="14">
        <f t="shared" si="26"/>
        <v>44986</v>
      </c>
      <c r="AM42" s="6">
        <f t="shared" ref="AM42:AQ42" si="72">AJ19/$E19</f>
        <v>0.8996763754</v>
      </c>
      <c r="AN42" s="6">
        <f t="shared" si="72"/>
        <v>0.05501618123</v>
      </c>
      <c r="AO42" s="6">
        <f t="shared" si="72"/>
        <v>0.04207119741</v>
      </c>
      <c r="AP42" s="6">
        <f t="shared" si="72"/>
        <v>0</v>
      </c>
      <c r="AQ42" s="6">
        <f t="shared" si="72"/>
        <v>0.003236245955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ht="14.25" customHeight="1">
      <c r="A43" s="6"/>
      <c r="B43" s="14"/>
      <c r="C43" s="6"/>
      <c r="D43" s="6"/>
      <c r="E43" s="14"/>
      <c r="F43" s="15"/>
      <c r="G43" s="15"/>
      <c r="H43" s="6"/>
      <c r="I43" s="14"/>
      <c r="J43" s="16"/>
      <c r="K43" s="16"/>
      <c r="L43" s="16"/>
      <c r="M43" s="16"/>
      <c r="N43" s="16"/>
      <c r="O43" s="6"/>
      <c r="P43" s="14"/>
      <c r="Q43" s="17"/>
      <c r="R43" s="17"/>
      <c r="S43" s="17"/>
      <c r="T43" s="17"/>
      <c r="U43" s="17"/>
      <c r="V43" s="6"/>
      <c r="W43" s="14"/>
      <c r="X43" s="17"/>
      <c r="Y43" s="17"/>
      <c r="Z43" s="17"/>
      <c r="AA43" s="17"/>
      <c r="AB43" s="17"/>
      <c r="AC43" s="6"/>
      <c r="AD43" s="18"/>
      <c r="AE43" s="6"/>
      <c r="AF43" s="6"/>
      <c r="AG43" s="14"/>
      <c r="AH43" s="6"/>
      <c r="AI43" s="6"/>
      <c r="AJ43" s="6"/>
      <c r="AK43" s="6"/>
      <c r="AL43" s="14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ht="14.25" customHeight="1">
      <c r="A44" s="6"/>
      <c r="B44" s="1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71"/>
    <col customWidth="1" min="3" max="5" width="10.71"/>
    <col customWidth="1" min="6" max="42" width="12.71"/>
    <col customWidth="1" min="43" max="43" width="15.71"/>
    <col customWidth="1" min="44" max="50" width="12.71"/>
    <col customWidth="1" min="51" max="61" width="8.86"/>
  </cols>
  <sheetData>
    <row r="1" ht="14.25" customHeight="1">
      <c r="A1" s="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114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N2" s="4" t="s">
        <v>12</v>
      </c>
      <c r="O2" s="3" t="s">
        <v>13</v>
      </c>
      <c r="P2" s="3" t="s">
        <v>14</v>
      </c>
      <c r="Q2" s="3" t="s">
        <v>15</v>
      </c>
      <c r="R2" s="4" t="s">
        <v>16</v>
      </c>
      <c r="S2" s="4" t="s">
        <v>17</v>
      </c>
      <c r="T2" s="4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  <c r="AA2" s="3" t="s">
        <v>25</v>
      </c>
      <c r="AB2" s="3" t="s">
        <v>26</v>
      </c>
      <c r="AC2" s="3" t="s">
        <v>27</v>
      </c>
      <c r="AD2" s="4" t="s">
        <v>28</v>
      </c>
      <c r="AE2" s="4" t="s">
        <v>29</v>
      </c>
      <c r="AF2" s="4" t="s">
        <v>30</v>
      </c>
      <c r="AG2" s="3" t="s">
        <v>31</v>
      </c>
      <c r="AH2" s="3" t="s">
        <v>32</v>
      </c>
      <c r="AI2" s="3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3" t="s">
        <v>39</v>
      </c>
      <c r="AP2" s="3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3" t="s">
        <v>45</v>
      </c>
      <c r="AV2" s="3" t="s">
        <v>46</v>
      </c>
      <c r="AW2" s="3" t="s">
        <v>43</v>
      </c>
      <c r="AX2" s="3" t="s">
        <v>44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4.25" customHeight="1">
      <c r="A3" s="6"/>
      <c r="B3" s="5">
        <v>44501.0</v>
      </c>
      <c r="C3" s="6"/>
      <c r="D3" s="6"/>
      <c r="E3" s="6"/>
      <c r="F3" s="6"/>
      <c r="G3" s="7"/>
      <c r="H3" s="7"/>
      <c r="I3" s="6"/>
      <c r="J3" s="7"/>
      <c r="K3" s="7"/>
      <c r="L3" s="6"/>
      <c r="M3" s="7"/>
      <c r="N3" s="7"/>
      <c r="O3" s="6"/>
      <c r="P3" s="7"/>
      <c r="Q3" s="7"/>
      <c r="R3" s="6"/>
      <c r="S3" s="7"/>
      <c r="T3" s="7"/>
      <c r="U3" s="6"/>
      <c r="V3" s="7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9"/>
      <c r="AP3" s="6"/>
      <c r="AQ3" s="9"/>
      <c r="AR3" s="6"/>
      <c r="AS3" s="7"/>
      <c r="AT3" s="6"/>
      <c r="AU3" s="9"/>
      <c r="AV3" s="6"/>
      <c r="AW3" s="10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ht="14.25" customHeight="1">
      <c r="A4" s="6"/>
      <c r="B4" s="5">
        <v>44531.0</v>
      </c>
      <c r="C4" s="6"/>
      <c r="D4" s="6"/>
      <c r="E4" s="6"/>
      <c r="F4" s="6"/>
      <c r="G4" s="7"/>
      <c r="H4" s="7"/>
      <c r="I4" s="6"/>
      <c r="J4" s="7"/>
      <c r="K4" s="7"/>
      <c r="L4" s="6"/>
      <c r="M4" s="7"/>
      <c r="N4" s="7"/>
      <c r="O4" s="6"/>
      <c r="P4" s="7"/>
      <c r="Q4" s="7"/>
      <c r="R4" s="6"/>
      <c r="S4" s="7"/>
      <c r="T4" s="7"/>
      <c r="U4" s="6"/>
      <c r="V4" s="7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9"/>
      <c r="AP4" s="6"/>
      <c r="AQ4" s="9"/>
      <c r="AR4" s="6"/>
      <c r="AS4" s="7"/>
      <c r="AT4" s="6"/>
      <c r="AU4" s="9"/>
      <c r="AV4" s="6"/>
      <c r="AW4" s="10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ht="14.25" customHeight="1">
      <c r="A5" s="6"/>
      <c r="B5" s="5">
        <v>44562.0</v>
      </c>
      <c r="C5" s="6"/>
      <c r="D5" s="6"/>
      <c r="E5" s="6"/>
      <c r="F5" s="6"/>
      <c r="G5" s="7"/>
      <c r="H5" s="7"/>
      <c r="I5" s="6"/>
      <c r="J5" s="7"/>
      <c r="K5" s="7"/>
      <c r="L5" s="6"/>
      <c r="M5" s="7"/>
      <c r="N5" s="7"/>
      <c r="O5" s="6"/>
      <c r="P5" s="7"/>
      <c r="Q5" s="7"/>
      <c r="R5" s="6"/>
      <c r="S5" s="7"/>
      <c r="T5" s="7"/>
      <c r="U5" s="6"/>
      <c r="V5" s="7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9"/>
      <c r="AP5" s="6"/>
      <c r="AQ5" s="9"/>
      <c r="AR5" s="6"/>
      <c r="AS5" s="7"/>
      <c r="AT5" s="6"/>
      <c r="AU5" s="9"/>
      <c r="AV5" s="6"/>
      <c r="AW5" s="10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ht="14.25" customHeight="1">
      <c r="A6" s="6"/>
      <c r="B6" s="5">
        <v>44593.0</v>
      </c>
      <c r="C6" s="6"/>
      <c r="D6" s="6"/>
      <c r="E6" s="6"/>
      <c r="F6" s="6"/>
      <c r="G6" s="7"/>
      <c r="H6" s="7"/>
      <c r="I6" s="6"/>
      <c r="J6" s="7"/>
      <c r="K6" s="7"/>
      <c r="L6" s="6"/>
      <c r="M6" s="7"/>
      <c r="N6" s="7"/>
      <c r="O6" s="6"/>
      <c r="P6" s="7"/>
      <c r="Q6" s="7"/>
      <c r="R6" s="6"/>
      <c r="S6" s="7"/>
      <c r="T6" s="7"/>
      <c r="U6" s="6"/>
      <c r="V6" s="7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9"/>
      <c r="AP6" s="6"/>
      <c r="AQ6" s="9"/>
      <c r="AR6" s="6"/>
      <c r="AS6" s="7"/>
      <c r="AT6" s="6"/>
      <c r="AU6" s="9"/>
      <c r="AV6" s="6"/>
      <c r="AW6" s="10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ht="14.25" customHeight="1">
      <c r="A7" s="6"/>
      <c r="B7" s="5">
        <v>44621.0</v>
      </c>
      <c r="C7" s="6">
        <v>193.0</v>
      </c>
      <c r="D7" s="6">
        <v>102.0</v>
      </c>
      <c r="E7" s="6">
        <v>295.0</v>
      </c>
      <c r="F7" s="6">
        <v>185.0</v>
      </c>
      <c r="G7" s="7">
        <v>1268.8487363469794</v>
      </c>
      <c r="H7" s="7">
        <v>1366.0</v>
      </c>
      <c r="I7" s="6">
        <v>7.0</v>
      </c>
      <c r="J7" s="7">
        <v>1221.6484778121776</v>
      </c>
      <c r="K7" s="7">
        <v>1331.0</v>
      </c>
      <c r="L7" s="6">
        <v>1.0</v>
      </c>
      <c r="M7" s="7">
        <v>1327.7582417582419</v>
      </c>
      <c r="N7" s="7">
        <v>1339.0</v>
      </c>
      <c r="O7" s="6"/>
      <c r="P7" s="7"/>
      <c r="Q7" s="7"/>
      <c r="R7" s="6"/>
      <c r="S7" s="7"/>
      <c r="T7" s="7"/>
      <c r="U7" s="6">
        <v>97.0</v>
      </c>
      <c r="V7" s="7">
        <v>1391.923194021387</v>
      </c>
      <c r="W7" s="6">
        <v>1528.0</v>
      </c>
      <c r="X7" s="6">
        <v>3.0</v>
      </c>
      <c r="Y7" s="7">
        <v>1412.6719273075082</v>
      </c>
      <c r="Z7" s="6">
        <v>1501.0</v>
      </c>
      <c r="AA7" s="6">
        <v>2.0</v>
      </c>
      <c r="AB7" s="6">
        <v>1442.4991956241956</v>
      </c>
      <c r="AC7" s="6">
        <v>1498.0</v>
      </c>
      <c r="AD7" s="6"/>
      <c r="AE7" s="6"/>
      <c r="AF7" s="6"/>
      <c r="AG7" s="6"/>
      <c r="AH7" s="6"/>
      <c r="AI7" s="6"/>
      <c r="AJ7" s="6">
        <v>282.0</v>
      </c>
      <c r="AK7" s="6">
        <v>10.0</v>
      </c>
      <c r="AL7" s="6">
        <v>3.0</v>
      </c>
      <c r="AM7" s="6"/>
      <c r="AN7" s="6"/>
      <c r="AO7" s="9">
        <v>44645.45668981481</v>
      </c>
      <c r="AP7" s="6">
        <v>1528.0</v>
      </c>
      <c r="AQ7" s="9">
        <v>44644.53239583333</v>
      </c>
      <c r="AR7" s="6">
        <v>91.0</v>
      </c>
      <c r="AS7" s="7">
        <v>1327.7582417582419</v>
      </c>
      <c r="AT7" s="6">
        <v>1339.0</v>
      </c>
      <c r="AU7" s="9">
        <v>44622.45490740741</v>
      </c>
      <c r="AV7" s="6">
        <v>84.0</v>
      </c>
      <c r="AW7" s="10">
        <v>1433.0119047619048</v>
      </c>
      <c r="AX7" s="6">
        <v>1458.0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ht="14.25" customHeight="1">
      <c r="A8" s="6"/>
      <c r="B8" s="5">
        <v>44652.0</v>
      </c>
      <c r="C8" s="6">
        <v>394.0</v>
      </c>
      <c r="D8" s="6">
        <v>72.0</v>
      </c>
      <c r="E8" s="6">
        <v>466.0</v>
      </c>
      <c r="F8" s="6">
        <v>381.0</v>
      </c>
      <c r="G8" s="7">
        <v>1239.2594018605414</v>
      </c>
      <c r="H8" s="7">
        <v>1366.0</v>
      </c>
      <c r="I8" s="6">
        <v>11.0</v>
      </c>
      <c r="J8" s="7">
        <v>1279.981053743679</v>
      </c>
      <c r="K8" s="7">
        <v>1365.0</v>
      </c>
      <c r="L8" s="6">
        <v>2.0</v>
      </c>
      <c r="M8" s="7">
        <v>1106.5944919278252</v>
      </c>
      <c r="N8" s="7">
        <v>1211.0</v>
      </c>
      <c r="O8" s="6"/>
      <c r="P8" s="7"/>
      <c r="Q8" s="7"/>
      <c r="R8" s="6"/>
      <c r="S8" s="7"/>
      <c r="T8" s="7"/>
      <c r="U8" s="6">
        <v>66.0</v>
      </c>
      <c r="V8" s="7">
        <v>1394.0555992377501</v>
      </c>
      <c r="W8" s="6">
        <v>1490.0</v>
      </c>
      <c r="X8" s="6">
        <v>3.0</v>
      </c>
      <c r="Y8" s="7">
        <v>1399.840885040885</v>
      </c>
      <c r="Z8" s="6">
        <v>1450.0</v>
      </c>
      <c r="AA8" s="6">
        <v>2.0</v>
      </c>
      <c r="AB8" s="6">
        <v>1410.9899497487438</v>
      </c>
      <c r="AC8" s="6">
        <v>1457.0</v>
      </c>
      <c r="AD8" s="6">
        <v>1.0</v>
      </c>
      <c r="AE8" s="6">
        <v>1419.5954198473282</v>
      </c>
      <c r="AF8" s="6">
        <v>1446.0</v>
      </c>
      <c r="AG8" s="6"/>
      <c r="AH8" s="6"/>
      <c r="AI8" s="6"/>
      <c r="AJ8" s="6">
        <v>447.0</v>
      </c>
      <c r="AK8" s="6">
        <v>14.0</v>
      </c>
      <c r="AL8" s="6">
        <v>4.0</v>
      </c>
      <c r="AM8" s="6">
        <v>1.0</v>
      </c>
      <c r="AN8" s="6"/>
      <c r="AO8" s="9">
        <v>44677.45505787037</v>
      </c>
      <c r="AP8" s="6">
        <v>1490.0</v>
      </c>
      <c r="AQ8" s="9">
        <v>44665.4044212963</v>
      </c>
      <c r="AR8" s="6">
        <v>81.0</v>
      </c>
      <c r="AS8" s="7">
        <v>1190.0864197530864</v>
      </c>
      <c r="AT8" s="6">
        <v>1211.0</v>
      </c>
      <c r="AU8" s="9">
        <v>44652.51903935185</v>
      </c>
      <c r="AV8" s="6">
        <v>131.0</v>
      </c>
      <c r="AW8" s="10">
        <v>1419.5954198473282</v>
      </c>
      <c r="AX8" s="6">
        <v>1446.0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ht="14.25" customHeight="1">
      <c r="A9" s="6"/>
      <c r="B9" s="5">
        <v>44682.0</v>
      </c>
      <c r="C9" s="6">
        <v>404.0</v>
      </c>
      <c r="D9" s="6">
        <v>1.0</v>
      </c>
      <c r="E9" s="6">
        <v>405.0</v>
      </c>
      <c r="F9" s="6">
        <v>386.0</v>
      </c>
      <c r="G9" s="7">
        <v>1172.7134826377046</v>
      </c>
      <c r="H9" s="7">
        <v>1360.0</v>
      </c>
      <c r="I9" s="6">
        <v>15.0</v>
      </c>
      <c r="J9" s="7">
        <v>1172.7586109972221</v>
      </c>
      <c r="K9" s="7">
        <v>1300.0</v>
      </c>
      <c r="L9" s="6">
        <v>2.0</v>
      </c>
      <c r="M9" s="7">
        <v>1137.6488269794722</v>
      </c>
      <c r="N9" s="7">
        <v>1212.0</v>
      </c>
      <c r="O9" s="6">
        <v>1.0</v>
      </c>
      <c r="P9" s="7">
        <v>1178.8713450292398</v>
      </c>
      <c r="Q9" s="7">
        <v>1201.0</v>
      </c>
      <c r="R9" s="6"/>
      <c r="S9" s="7"/>
      <c r="T9" s="7"/>
      <c r="U9" s="6">
        <v>1.0</v>
      </c>
      <c r="V9" s="7">
        <v>1376.0</v>
      </c>
      <c r="W9" s="6">
        <v>1376.0</v>
      </c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387.0</v>
      </c>
      <c r="AK9" s="6">
        <v>15.0</v>
      </c>
      <c r="AL9" s="6">
        <v>2.0</v>
      </c>
      <c r="AM9" s="6">
        <v>1.0</v>
      </c>
      <c r="AN9" s="6"/>
      <c r="AO9" s="9">
        <v>44708.496516203704</v>
      </c>
      <c r="AP9" s="6">
        <v>1376.0</v>
      </c>
      <c r="AQ9" s="9">
        <v>44687.42599537037</v>
      </c>
      <c r="AR9" s="6">
        <v>171.0</v>
      </c>
      <c r="AS9" s="7">
        <v>1178.8713450292398</v>
      </c>
      <c r="AT9" s="6">
        <v>1201.0</v>
      </c>
      <c r="AU9" s="9">
        <v>44708.496516203704</v>
      </c>
      <c r="AV9" s="6">
        <v>1.0</v>
      </c>
      <c r="AW9" s="10">
        <v>1376.0</v>
      </c>
      <c r="AX9" s="6">
        <v>1376.0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4.25" customHeight="1">
      <c r="A10" s="6"/>
      <c r="B10" s="5">
        <v>44713.0</v>
      </c>
      <c r="C10" s="6">
        <v>421.0</v>
      </c>
      <c r="D10" s="6"/>
      <c r="E10" s="6">
        <v>421.0</v>
      </c>
      <c r="F10" s="6">
        <v>399.0</v>
      </c>
      <c r="G10" s="7">
        <v>1134.6042019774286</v>
      </c>
      <c r="H10" s="7">
        <v>1358.0</v>
      </c>
      <c r="I10" s="6">
        <v>16.0</v>
      </c>
      <c r="J10" s="7">
        <v>1155.4687494076697</v>
      </c>
      <c r="K10" s="7">
        <v>1282.0</v>
      </c>
      <c r="L10" s="6">
        <v>5.0</v>
      </c>
      <c r="M10" s="7">
        <v>1185.566670957444</v>
      </c>
      <c r="N10" s="7">
        <v>1279.0</v>
      </c>
      <c r="O10" s="6">
        <v>1.0</v>
      </c>
      <c r="P10" s="7">
        <v>1195.3007518796992</v>
      </c>
      <c r="Q10" s="7">
        <v>1240.0</v>
      </c>
      <c r="R10" s="6"/>
      <c r="S10" s="7"/>
      <c r="T10" s="7"/>
      <c r="U10" s="6"/>
      <c r="V10" s="7"/>
      <c r="W10" s="6"/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399.0</v>
      </c>
      <c r="AK10" s="6">
        <v>16.0</v>
      </c>
      <c r="AL10" s="6">
        <v>5.0</v>
      </c>
      <c r="AM10" s="6">
        <v>1.0</v>
      </c>
      <c r="AN10" s="6"/>
      <c r="AO10" s="9">
        <v>44718.49935185185</v>
      </c>
      <c r="AP10" s="6">
        <v>1358.0</v>
      </c>
      <c r="AQ10" s="9">
        <v>44723.466469907406</v>
      </c>
      <c r="AR10" s="6">
        <v>133.0</v>
      </c>
      <c r="AS10" s="7">
        <v>1195.3007518796992</v>
      </c>
      <c r="AT10" s="6">
        <v>1240.0</v>
      </c>
      <c r="AU10" s="9">
        <v>0.0</v>
      </c>
      <c r="AV10" s="6">
        <v>0.0</v>
      </c>
      <c r="AW10" s="10">
        <v>0.0</v>
      </c>
      <c r="AX10" s="6">
        <v>0.0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ht="14.25" customHeight="1">
      <c r="A11" s="6"/>
      <c r="B11" s="5">
        <v>44743.0</v>
      </c>
      <c r="C11" s="6">
        <v>453.0</v>
      </c>
      <c r="D11" s="6">
        <v>1.0</v>
      </c>
      <c r="E11" s="6">
        <v>454.0</v>
      </c>
      <c r="F11" s="6">
        <v>431.0</v>
      </c>
      <c r="G11" s="7">
        <v>1137.1273272485505</v>
      </c>
      <c r="H11" s="7">
        <v>1349.0</v>
      </c>
      <c r="I11" s="6">
        <v>20.0</v>
      </c>
      <c r="J11" s="7">
        <v>1156.6566483294093</v>
      </c>
      <c r="K11" s="7">
        <v>1355.0</v>
      </c>
      <c r="L11" s="6">
        <v>2.0</v>
      </c>
      <c r="M11" s="7">
        <v>1125.9974759811107</v>
      </c>
      <c r="N11" s="7">
        <v>1244.0</v>
      </c>
      <c r="O11" s="6"/>
      <c r="P11" s="7"/>
      <c r="Q11" s="7"/>
      <c r="R11" s="6"/>
      <c r="S11" s="7"/>
      <c r="T11" s="7"/>
      <c r="U11" s="6">
        <v>1.0</v>
      </c>
      <c r="V11" s="7">
        <v>1420.7692307692307</v>
      </c>
      <c r="W11" s="6">
        <v>1446.0</v>
      </c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432.0</v>
      </c>
      <c r="AK11" s="6">
        <v>20.0</v>
      </c>
      <c r="AL11" s="6">
        <v>2.0</v>
      </c>
      <c r="AM11" s="6"/>
      <c r="AN11" s="6"/>
      <c r="AO11" s="9">
        <v>44757.50982638889</v>
      </c>
      <c r="AP11" s="6">
        <v>1446.0</v>
      </c>
      <c r="AQ11" s="9">
        <v>44766.39493055556</v>
      </c>
      <c r="AR11" s="6">
        <v>89.0</v>
      </c>
      <c r="AS11" s="7">
        <v>1046.0674157303372</v>
      </c>
      <c r="AT11" s="6">
        <v>1055.0</v>
      </c>
      <c r="AU11" s="9">
        <v>44757.50987268519</v>
      </c>
      <c r="AV11" s="6">
        <v>13.0</v>
      </c>
      <c r="AW11" s="10">
        <v>1420.7692307692307</v>
      </c>
      <c r="AX11" s="6">
        <v>1446.0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ht="14.25" customHeight="1">
      <c r="A12" s="6"/>
      <c r="B12" s="5">
        <v>44774.0</v>
      </c>
      <c r="C12" s="6">
        <v>615.0</v>
      </c>
      <c r="D12" s="6">
        <v>64.0</v>
      </c>
      <c r="E12" s="6">
        <v>679.0</v>
      </c>
      <c r="F12" s="6">
        <v>587.0</v>
      </c>
      <c r="G12" s="7">
        <v>1204.0333911448502</v>
      </c>
      <c r="H12" s="7">
        <v>1366.0</v>
      </c>
      <c r="I12" s="6">
        <v>20.0</v>
      </c>
      <c r="J12" s="7">
        <v>1242.7090050903455</v>
      </c>
      <c r="K12" s="7">
        <v>1362.0</v>
      </c>
      <c r="L12" s="6">
        <v>4.0</v>
      </c>
      <c r="M12" s="7">
        <v>1269.2431728174124</v>
      </c>
      <c r="N12" s="7">
        <v>1361.0</v>
      </c>
      <c r="O12" s="6">
        <v>4.0</v>
      </c>
      <c r="P12" s="7">
        <v>1228.54176200992</v>
      </c>
      <c r="Q12" s="7">
        <v>1350.0</v>
      </c>
      <c r="R12" s="6"/>
      <c r="S12" s="7"/>
      <c r="T12" s="7"/>
      <c r="U12" s="6">
        <v>64.0</v>
      </c>
      <c r="V12" s="7">
        <v>1392.836519268935</v>
      </c>
      <c r="W12" s="6">
        <v>1476.0</v>
      </c>
      <c r="X12" s="6"/>
      <c r="Y12" s="7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>
        <v>651.0</v>
      </c>
      <c r="AK12" s="6">
        <v>20.0</v>
      </c>
      <c r="AL12" s="6">
        <v>4.0</v>
      </c>
      <c r="AM12" s="6">
        <v>4.0</v>
      </c>
      <c r="AN12" s="6"/>
      <c r="AO12" s="9">
        <v>44790.47605324074</v>
      </c>
      <c r="AP12" s="6">
        <v>1476.0</v>
      </c>
      <c r="AQ12" s="9">
        <v>44790.542129629626</v>
      </c>
      <c r="AR12" s="6">
        <v>150.0</v>
      </c>
      <c r="AS12" s="7">
        <v>1185.7133333333334</v>
      </c>
      <c r="AT12" s="6">
        <v>1208.0</v>
      </c>
      <c r="AU12" s="9">
        <v>44804.506319444445</v>
      </c>
      <c r="AV12" s="6">
        <v>26.0</v>
      </c>
      <c r="AW12" s="10">
        <v>1380.3461538461538</v>
      </c>
      <c r="AX12" s="6">
        <v>1397.0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ht="14.25" customHeight="1">
      <c r="A13" s="6"/>
      <c r="B13" s="5">
        <v>44805.0</v>
      </c>
      <c r="C13" s="6">
        <v>356.0</v>
      </c>
      <c r="D13" s="6">
        <v>52.0</v>
      </c>
      <c r="E13" s="6">
        <v>408.0</v>
      </c>
      <c r="F13" s="6">
        <v>332.0</v>
      </c>
      <c r="G13" s="6">
        <v>1198.4091954133198</v>
      </c>
      <c r="H13" s="6">
        <v>1366.0</v>
      </c>
      <c r="I13" s="6">
        <v>15.0</v>
      </c>
      <c r="J13" s="6">
        <v>1196.0836360443386</v>
      </c>
      <c r="K13" s="6">
        <v>1353.0</v>
      </c>
      <c r="L13" s="6">
        <v>9.0</v>
      </c>
      <c r="M13" s="6">
        <v>1256.3982980730389</v>
      </c>
      <c r="N13" s="6">
        <v>1351.0</v>
      </c>
      <c r="O13" s="6"/>
      <c r="P13" s="6"/>
      <c r="Q13" s="6"/>
      <c r="R13" s="6"/>
      <c r="S13" s="6"/>
      <c r="T13" s="6"/>
      <c r="U13" s="6">
        <v>48.0</v>
      </c>
      <c r="V13" s="6">
        <v>1408.5819045351695</v>
      </c>
      <c r="W13" s="6">
        <v>1492.0</v>
      </c>
      <c r="X13" s="6">
        <v>4.0</v>
      </c>
      <c r="Y13" s="6">
        <v>1418.4994594099323</v>
      </c>
      <c r="Z13" s="6">
        <v>1485.0</v>
      </c>
      <c r="AA13" s="6"/>
      <c r="AB13" s="6"/>
      <c r="AC13" s="6"/>
      <c r="AD13" s="6"/>
      <c r="AE13" s="6"/>
      <c r="AF13" s="6"/>
      <c r="AG13" s="6"/>
      <c r="AH13" s="6"/>
      <c r="AI13" s="6"/>
      <c r="AJ13" s="6">
        <v>380.0</v>
      </c>
      <c r="AK13" s="6">
        <v>19.0</v>
      </c>
      <c r="AL13" s="6">
        <v>9.0</v>
      </c>
      <c r="AM13" s="6"/>
      <c r="AN13" s="6"/>
      <c r="AO13" s="9">
        <v>44826.44064814815</v>
      </c>
      <c r="AP13" s="6">
        <v>1492.0</v>
      </c>
      <c r="AQ13" s="9">
        <v>44819.41224537037</v>
      </c>
      <c r="AR13" s="6">
        <v>119.0</v>
      </c>
      <c r="AS13" s="6">
        <v>1273.9159663865546</v>
      </c>
      <c r="AT13" s="6">
        <v>1306.0</v>
      </c>
      <c r="AU13" s="9">
        <v>44810.45092592593</v>
      </c>
      <c r="AV13" s="6">
        <v>60.0</v>
      </c>
      <c r="AW13" s="6">
        <v>1381.45</v>
      </c>
      <c r="AX13" s="6">
        <v>1400.0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ht="14.25" customHeight="1">
      <c r="A14" s="6"/>
      <c r="B14" s="5">
        <v>44835.0</v>
      </c>
      <c r="C14" s="6">
        <v>75.0</v>
      </c>
      <c r="D14" s="6">
        <v>42.0</v>
      </c>
      <c r="E14" s="6">
        <v>117.0</v>
      </c>
      <c r="F14" s="6">
        <v>73.0</v>
      </c>
      <c r="G14" s="6">
        <v>1279.158330156471</v>
      </c>
      <c r="H14" s="6">
        <v>1366.0</v>
      </c>
      <c r="I14" s="6">
        <v>2.0</v>
      </c>
      <c r="J14" s="6">
        <v>1319.0694444444443</v>
      </c>
      <c r="K14" s="6">
        <v>1363.0</v>
      </c>
      <c r="L14" s="6"/>
      <c r="M14" s="6"/>
      <c r="N14" s="6"/>
      <c r="O14" s="6"/>
      <c r="P14" s="6"/>
      <c r="Q14" s="6"/>
      <c r="R14" s="6"/>
      <c r="S14" s="6"/>
      <c r="T14" s="6"/>
      <c r="U14" s="6">
        <v>38.0</v>
      </c>
      <c r="V14" s="6">
        <v>1399.3822047739047</v>
      </c>
      <c r="W14" s="6">
        <v>1460.0</v>
      </c>
      <c r="X14" s="6">
        <v>4.0</v>
      </c>
      <c r="Y14" s="6">
        <v>1390.5579896907216</v>
      </c>
      <c r="Z14" s="6">
        <v>1481.0</v>
      </c>
      <c r="AA14" s="6"/>
      <c r="AB14" s="6"/>
      <c r="AC14" s="6"/>
      <c r="AD14" s="6"/>
      <c r="AE14" s="6"/>
      <c r="AF14" s="6"/>
      <c r="AG14" s="6"/>
      <c r="AH14" s="6"/>
      <c r="AI14" s="6"/>
      <c r="AJ14" s="6">
        <v>111.0</v>
      </c>
      <c r="AK14" s="6">
        <v>6.0</v>
      </c>
      <c r="AL14" s="6"/>
      <c r="AM14" s="6"/>
      <c r="AN14" s="6"/>
      <c r="AO14" s="9">
        <v>44858.458969907406</v>
      </c>
      <c r="AP14" s="6">
        <v>1481.0</v>
      </c>
      <c r="AQ14" s="9">
        <v>44853.408009259256</v>
      </c>
      <c r="AR14" s="11">
        <v>38.0</v>
      </c>
      <c r="AS14" s="6">
        <v>1328.157894736842</v>
      </c>
      <c r="AT14" s="6">
        <v>1363.0</v>
      </c>
      <c r="AU14" s="9">
        <v>44858.46643518518</v>
      </c>
      <c r="AV14" s="6">
        <v>35.0</v>
      </c>
      <c r="AW14" s="6">
        <v>1398.2571428571428</v>
      </c>
      <c r="AX14" s="6">
        <v>1418.0</v>
      </c>
      <c r="AY14" s="6"/>
      <c r="AZ14" s="6"/>
      <c r="BA14" s="6"/>
      <c r="BB14" s="6"/>
      <c r="BC14" s="9"/>
      <c r="BD14" s="6"/>
      <c r="BE14" s="9"/>
      <c r="BF14" s="6"/>
      <c r="BG14" s="6"/>
      <c r="BH14" s="6"/>
      <c r="BI14" s="9"/>
    </row>
    <row r="15" ht="14.25" customHeight="1">
      <c r="A15" s="6"/>
      <c r="B15" s="5">
        <v>44866.0</v>
      </c>
      <c r="C15" s="6">
        <v>227.0</v>
      </c>
      <c r="D15" s="6">
        <v>96.0</v>
      </c>
      <c r="E15" s="6">
        <v>323.0</v>
      </c>
      <c r="F15" s="6">
        <v>199.0</v>
      </c>
      <c r="G15" s="6">
        <v>1193.8092982480728</v>
      </c>
      <c r="H15" s="6">
        <v>1366.0</v>
      </c>
      <c r="I15" s="6">
        <v>11.0</v>
      </c>
      <c r="J15" s="6">
        <v>1217.8807189996494</v>
      </c>
      <c r="K15" s="6">
        <v>1364.0</v>
      </c>
      <c r="L15" s="6">
        <v>15.0</v>
      </c>
      <c r="M15" s="6">
        <v>1203.0472824082965</v>
      </c>
      <c r="N15" s="6">
        <v>1365.0</v>
      </c>
      <c r="O15" s="6">
        <v>1.0</v>
      </c>
      <c r="P15" s="6">
        <v>1140.8235294117646</v>
      </c>
      <c r="Q15" s="6">
        <v>1175.0</v>
      </c>
      <c r="R15" s="6">
        <v>1.0</v>
      </c>
      <c r="S15" s="6">
        <v>1175.725321888412</v>
      </c>
      <c r="T15" s="6">
        <v>1197.0</v>
      </c>
      <c r="U15" s="6">
        <v>90.0</v>
      </c>
      <c r="V15" s="6">
        <v>1417.898270487747</v>
      </c>
      <c r="W15" s="6">
        <v>1602.0</v>
      </c>
      <c r="X15" s="6">
        <v>3.0</v>
      </c>
      <c r="Y15" s="6">
        <v>1421.3051870468028</v>
      </c>
      <c r="Z15" s="6">
        <v>1491.0</v>
      </c>
      <c r="AA15" s="6">
        <v>3.0</v>
      </c>
      <c r="AB15" s="6">
        <v>1425.0485074626865</v>
      </c>
      <c r="AC15" s="6">
        <v>1482.0</v>
      </c>
      <c r="AD15" s="6"/>
      <c r="AE15" s="6"/>
      <c r="AF15" s="6"/>
      <c r="AG15" s="6"/>
      <c r="AH15" s="6"/>
      <c r="AI15" s="6"/>
      <c r="AJ15" s="6">
        <v>289.0</v>
      </c>
      <c r="AK15" s="6">
        <v>14.0</v>
      </c>
      <c r="AL15" s="6">
        <v>18.0</v>
      </c>
      <c r="AM15" s="6">
        <v>1.0</v>
      </c>
      <c r="AN15" s="6">
        <v>1.0</v>
      </c>
      <c r="AO15" s="9">
        <v>44870.503287037034</v>
      </c>
      <c r="AP15" s="6">
        <v>1602.0</v>
      </c>
      <c r="AQ15" s="9">
        <v>44878.3840162037</v>
      </c>
      <c r="AR15" s="11">
        <v>272.0</v>
      </c>
      <c r="AS15" s="6">
        <v>1101.3860294117646</v>
      </c>
      <c r="AT15" s="6">
        <v>1135.0</v>
      </c>
      <c r="AU15" s="9">
        <v>44871.513969907406</v>
      </c>
      <c r="AV15" s="6">
        <v>101.0</v>
      </c>
      <c r="AW15" s="6">
        <v>1467.5247524752476</v>
      </c>
      <c r="AX15" s="6">
        <v>1482.0</v>
      </c>
      <c r="AY15" s="6"/>
      <c r="AZ15" s="6"/>
      <c r="BA15" s="6"/>
      <c r="BB15" s="6"/>
      <c r="BC15" s="9"/>
      <c r="BD15" s="6"/>
      <c r="BE15" s="9"/>
      <c r="BF15" s="6"/>
      <c r="BG15" s="6"/>
      <c r="BH15" s="6"/>
      <c r="BI15" s="9"/>
    </row>
    <row r="16" ht="14.25" customHeight="1">
      <c r="A16" s="6"/>
      <c r="B16" s="5">
        <v>44896.0</v>
      </c>
      <c r="C16" s="6">
        <v>173.0</v>
      </c>
      <c r="D16" s="6">
        <v>60.0</v>
      </c>
      <c r="E16" s="6">
        <v>233.0</v>
      </c>
      <c r="F16" s="6">
        <v>160.0</v>
      </c>
      <c r="G16" s="6">
        <v>1227.7257485426287</v>
      </c>
      <c r="H16" s="6">
        <v>1366.0</v>
      </c>
      <c r="I16" s="6">
        <v>7.0</v>
      </c>
      <c r="J16" s="6">
        <v>1220.474097313899</v>
      </c>
      <c r="K16" s="6">
        <v>1366.0</v>
      </c>
      <c r="L16" s="6">
        <v>5.0</v>
      </c>
      <c r="M16" s="6">
        <v>1199.7509938796265</v>
      </c>
      <c r="N16" s="6">
        <v>1364.0</v>
      </c>
      <c r="O16" s="6"/>
      <c r="P16" s="6"/>
      <c r="Q16" s="6"/>
      <c r="R16" s="6">
        <v>1.0</v>
      </c>
      <c r="S16" s="6">
        <v>1321.0539215686274</v>
      </c>
      <c r="T16" s="6">
        <v>1330.0</v>
      </c>
      <c r="U16" s="6">
        <v>58.0</v>
      </c>
      <c r="V16" s="6">
        <v>1394.3812913968013</v>
      </c>
      <c r="W16" s="6">
        <v>1563.0</v>
      </c>
      <c r="X16" s="6"/>
      <c r="Y16" s="6"/>
      <c r="Z16" s="6"/>
      <c r="AA16" s="6">
        <v>2.0</v>
      </c>
      <c r="AB16" s="6">
        <v>1388.5</v>
      </c>
      <c r="AC16" s="6">
        <v>1417.0</v>
      </c>
      <c r="AD16" s="6"/>
      <c r="AE16" s="6"/>
      <c r="AF16" s="6"/>
      <c r="AG16" s="6"/>
      <c r="AH16" s="6"/>
      <c r="AI16" s="6"/>
      <c r="AJ16" s="6">
        <v>218.0</v>
      </c>
      <c r="AK16" s="6">
        <v>7.0</v>
      </c>
      <c r="AL16" s="6">
        <v>7.0</v>
      </c>
      <c r="AM16" s="6"/>
      <c r="AN16" s="6">
        <v>1.0</v>
      </c>
      <c r="AO16" s="9">
        <v>44900.476747685185</v>
      </c>
      <c r="AP16" s="6">
        <v>1563.0</v>
      </c>
      <c r="AQ16" s="9">
        <v>44916.4369212963</v>
      </c>
      <c r="AR16" s="11">
        <v>204.0</v>
      </c>
      <c r="AS16" s="6">
        <v>1321.0539215686274</v>
      </c>
      <c r="AT16" s="6">
        <v>1330.0</v>
      </c>
      <c r="AU16" s="9">
        <v>44898.45579861111</v>
      </c>
      <c r="AV16" s="6">
        <v>81.0</v>
      </c>
      <c r="AW16" s="6">
        <v>1395.0</v>
      </c>
      <c r="AX16" s="6">
        <v>1417.0</v>
      </c>
      <c r="AY16" s="6"/>
      <c r="AZ16" s="6"/>
      <c r="BA16" s="6"/>
      <c r="BB16" s="6"/>
      <c r="BC16" s="9"/>
      <c r="BD16" s="6"/>
      <c r="BE16" s="9"/>
      <c r="BF16" s="6"/>
      <c r="BG16" s="6"/>
      <c r="BH16" s="6"/>
      <c r="BI16" s="9"/>
    </row>
    <row r="17" ht="14.25" customHeight="1">
      <c r="A17" s="6"/>
      <c r="B17" s="5">
        <v>44927.0</v>
      </c>
      <c r="C17" s="6">
        <v>42.0</v>
      </c>
      <c r="D17" s="6">
        <v>6.0</v>
      </c>
      <c r="E17" s="6">
        <v>48.0</v>
      </c>
      <c r="F17" s="6">
        <v>42.0</v>
      </c>
      <c r="G17" s="6">
        <v>1274.1957792207793</v>
      </c>
      <c r="H17" s="6">
        <v>1366.0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6.0</v>
      </c>
      <c r="V17" s="6">
        <v>1373.3194444444443</v>
      </c>
      <c r="W17" s="6">
        <v>1406.0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48.0</v>
      </c>
      <c r="AK17" s="6"/>
      <c r="AL17" s="6"/>
      <c r="AM17" s="6"/>
      <c r="AN17" s="6"/>
      <c r="AO17" s="9">
        <v>44954.446909722225</v>
      </c>
      <c r="AP17" s="6">
        <v>1406.0</v>
      </c>
      <c r="AQ17" s="9">
        <v>44949.43618055555</v>
      </c>
      <c r="AR17" s="11">
        <v>20.0</v>
      </c>
      <c r="AS17" s="6">
        <v>1333.6</v>
      </c>
      <c r="AT17" s="6">
        <v>1342.0</v>
      </c>
      <c r="AU17" s="9">
        <v>44950.5278587963</v>
      </c>
      <c r="AV17" s="6">
        <v>8.0</v>
      </c>
      <c r="AW17" s="6">
        <v>1374.625</v>
      </c>
      <c r="AX17" s="6">
        <v>1382.0</v>
      </c>
      <c r="AY17" s="6"/>
      <c r="AZ17" s="6"/>
      <c r="BA17" s="6"/>
      <c r="BB17" s="6"/>
      <c r="BC17" s="9"/>
      <c r="BD17" s="6"/>
      <c r="BE17" s="9"/>
      <c r="BF17" s="6"/>
      <c r="BG17" s="6"/>
      <c r="BH17" s="6"/>
      <c r="BI17" s="9"/>
    </row>
    <row r="18" ht="14.25" customHeight="1">
      <c r="A18" s="6"/>
      <c r="B18" s="5">
        <v>44958.0</v>
      </c>
      <c r="C18" s="6">
        <v>68.0</v>
      </c>
      <c r="D18" s="6">
        <v>58.0</v>
      </c>
      <c r="E18" s="6">
        <v>126.0</v>
      </c>
      <c r="F18" s="6">
        <v>66.0</v>
      </c>
      <c r="G18" s="6">
        <v>1261.869524005339</v>
      </c>
      <c r="H18" s="6">
        <v>1366.0</v>
      </c>
      <c r="I18" s="6"/>
      <c r="J18" s="6"/>
      <c r="K18" s="6"/>
      <c r="L18" s="6">
        <v>1.0</v>
      </c>
      <c r="M18" s="6">
        <v>1212.7837837837837</v>
      </c>
      <c r="N18" s="6">
        <v>1217.0</v>
      </c>
      <c r="O18" s="6"/>
      <c r="P18" s="6"/>
      <c r="Q18" s="6"/>
      <c r="R18" s="6">
        <v>1.0</v>
      </c>
      <c r="S18" s="6">
        <v>1227.344827586207</v>
      </c>
      <c r="T18" s="6">
        <v>1234.0</v>
      </c>
      <c r="U18" s="6">
        <v>56.0</v>
      </c>
      <c r="V18" s="6">
        <v>1396.6886507865602</v>
      </c>
      <c r="W18" s="6">
        <v>1541.0</v>
      </c>
      <c r="X18" s="6">
        <v>1.0</v>
      </c>
      <c r="Y18" s="6">
        <v>1404.28125</v>
      </c>
      <c r="Z18" s="6">
        <v>1423.0</v>
      </c>
      <c r="AA18" s="6">
        <v>1.0</v>
      </c>
      <c r="AB18" s="6">
        <v>1379.8947368421052</v>
      </c>
      <c r="AC18" s="6">
        <v>1390.0</v>
      </c>
      <c r="AD18" s="6"/>
      <c r="AE18" s="6"/>
      <c r="AF18" s="6"/>
      <c r="AG18" s="6"/>
      <c r="AH18" s="6"/>
      <c r="AI18" s="6"/>
      <c r="AJ18" s="6">
        <v>122.0</v>
      </c>
      <c r="AK18" s="6">
        <v>1.0</v>
      </c>
      <c r="AL18" s="6">
        <v>2.0</v>
      </c>
      <c r="AM18" s="6"/>
      <c r="AN18" s="6">
        <v>1.0</v>
      </c>
      <c r="AO18" s="9">
        <v>44958.501238425924</v>
      </c>
      <c r="AP18" s="6">
        <v>1541.0</v>
      </c>
      <c r="AQ18" s="9">
        <v>44965.5633912037</v>
      </c>
      <c r="AR18" s="11">
        <v>232.0</v>
      </c>
      <c r="AS18" s="6">
        <v>1227.344827586207</v>
      </c>
      <c r="AT18" s="6">
        <v>1234.0</v>
      </c>
      <c r="AU18" s="9">
        <v>44967.527025462965</v>
      </c>
      <c r="AV18" s="6">
        <v>76.0</v>
      </c>
      <c r="AW18" s="6">
        <v>1379.8947368421052</v>
      </c>
      <c r="AX18" s="6">
        <v>1390.0</v>
      </c>
      <c r="AY18" s="6"/>
      <c r="AZ18" s="6"/>
      <c r="BA18" s="6"/>
      <c r="BB18" s="6"/>
      <c r="BC18" s="9"/>
      <c r="BD18" s="6"/>
      <c r="BE18" s="9"/>
      <c r="BF18" s="6"/>
      <c r="BG18" s="6"/>
      <c r="BH18" s="6"/>
      <c r="BI18" s="9"/>
    </row>
    <row r="19" ht="14.25" customHeight="1">
      <c r="A19" s="6"/>
      <c r="B19" s="5">
        <v>44986.0</v>
      </c>
      <c r="C19" s="6">
        <v>185.0</v>
      </c>
      <c r="D19" s="6">
        <v>70.0</v>
      </c>
      <c r="E19" s="6">
        <v>255.0</v>
      </c>
      <c r="F19" s="6">
        <v>177.0</v>
      </c>
      <c r="G19" s="6">
        <v>1258.8363084204082</v>
      </c>
      <c r="H19" s="6">
        <v>1366.0</v>
      </c>
      <c r="I19" s="6">
        <v>4.0</v>
      </c>
      <c r="J19" s="6">
        <v>1183.7710792721891</v>
      </c>
      <c r="K19" s="6">
        <v>1366.0</v>
      </c>
      <c r="L19" s="6">
        <v>3.0</v>
      </c>
      <c r="M19" s="6">
        <v>1235.0567169105511</v>
      </c>
      <c r="N19" s="6">
        <v>1359.0</v>
      </c>
      <c r="O19" s="6">
        <v>1.0</v>
      </c>
      <c r="P19" s="6">
        <v>1339.3467741935483</v>
      </c>
      <c r="Q19" s="6">
        <v>1365.0</v>
      </c>
      <c r="R19" s="6"/>
      <c r="S19" s="6"/>
      <c r="T19" s="6"/>
      <c r="U19" s="6">
        <v>65.0</v>
      </c>
      <c r="V19" s="6">
        <v>1394.8058789869135</v>
      </c>
      <c r="W19" s="6">
        <v>1519.0</v>
      </c>
      <c r="X19" s="6">
        <v>4.0</v>
      </c>
      <c r="Y19" s="6">
        <v>1397.8600177643066</v>
      </c>
      <c r="Z19" s="6">
        <v>1456.0</v>
      </c>
      <c r="AA19" s="6">
        <v>1.0</v>
      </c>
      <c r="AB19" s="6">
        <v>1422.281690140845</v>
      </c>
      <c r="AC19" s="6">
        <v>1444.0</v>
      </c>
      <c r="AD19" s="6"/>
      <c r="AE19" s="6"/>
      <c r="AF19" s="6"/>
      <c r="AG19" s="6"/>
      <c r="AH19" s="6"/>
      <c r="AI19" s="6"/>
      <c r="AJ19" s="6">
        <v>242.0</v>
      </c>
      <c r="AK19" s="6">
        <v>8.0</v>
      </c>
      <c r="AL19" s="6">
        <v>4.0</v>
      </c>
      <c r="AM19" s="6">
        <v>1.0</v>
      </c>
      <c r="AN19" s="6"/>
      <c r="AO19" s="9">
        <v>45010.50478009259</v>
      </c>
      <c r="AP19" s="6">
        <v>1519.0</v>
      </c>
      <c r="AQ19" s="9">
        <v>45010.43376157407</v>
      </c>
      <c r="AR19" s="6">
        <v>124.0</v>
      </c>
      <c r="AS19" s="6">
        <v>1339.3467741935483</v>
      </c>
      <c r="AT19" s="6">
        <v>1365.0</v>
      </c>
      <c r="AU19" s="9">
        <v>45007.51246527778</v>
      </c>
      <c r="AV19" s="6">
        <v>71.0</v>
      </c>
      <c r="AW19" s="6">
        <v>1422.281690140845</v>
      </c>
      <c r="AX19" s="6">
        <v>1444.0</v>
      </c>
      <c r="AY19" s="6"/>
      <c r="AZ19" s="6"/>
      <c r="BA19" s="6"/>
      <c r="BB19" s="6"/>
      <c r="BC19" s="9"/>
      <c r="BD19" s="6"/>
      <c r="BE19" s="9"/>
      <c r="BF19" s="6"/>
      <c r="BG19" s="6"/>
      <c r="BH19" s="6"/>
      <c r="BI19" s="9"/>
    </row>
    <row r="20" ht="14.25" customHeight="1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9"/>
      <c r="AP20" s="6"/>
      <c r="AQ20" s="9"/>
      <c r="AR20" s="11"/>
      <c r="AS20" s="6"/>
      <c r="AT20" s="6"/>
      <c r="AU20" s="9"/>
      <c r="AV20" s="6"/>
      <c r="AW20" s="6"/>
      <c r="AX20" s="6"/>
      <c r="AY20" s="6"/>
      <c r="AZ20" s="6"/>
      <c r="BA20" s="6"/>
      <c r="BB20" s="6"/>
      <c r="BC20" s="9"/>
      <c r="BD20" s="6"/>
      <c r="BE20" s="9"/>
      <c r="BF20" s="6"/>
      <c r="BG20" s="6"/>
      <c r="BH20" s="6"/>
      <c r="BI20" s="9"/>
    </row>
    <row r="21" ht="14.25" customHeight="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9"/>
      <c r="AP21" s="6"/>
      <c r="AQ21" s="9"/>
      <c r="AR21" s="11"/>
      <c r="AS21" s="6"/>
      <c r="AT21" s="6"/>
      <c r="AU21" s="9"/>
      <c r="AV21" s="6"/>
      <c r="AW21" s="6"/>
      <c r="AX21" s="6"/>
      <c r="AY21" s="6"/>
      <c r="AZ21" s="6"/>
      <c r="BA21" s="6"/>
      <c r="BB21" s="6"/>
      <c r="BC21" s="9"/>
      <c r="BD21" s="6"/>
      <c r="BE21" s="9"/>
      <c r="BF21" s="6"/>
      <c r="BG21" s="6"/>
      <c r="BH21" s="6"/>
      <c r="BI21" s="9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ht="14.25" customHeight="1">
      <c r="A25" s="6"/>
      <c r="B25" s="12" t="s">
        <v>0</v>
      </c>
      <c r="C25" s="12" t="s">
        <v>47</v>
      </c>
      <c r="D25" s="6"/>
      <c r="E25" s="12" t="s">
        <v>0</v>
      </c>
      <c r="F25" s="12" t="s">
        <v>48</v>
      </c>
      <c r="G25" s="12" t="s">
        <v>49</v>
      </c>
      <c r="H25" s="6"/>
      <c r="I25" s="12" t="s">
        <v>0</v>
      </c>
      <c r="J25" s="12" t="s">
        <v>50</v>
      </c>
      <c r="K25" s="12" t="s">
        <v>51</v>
      </c>
      <c r="L25" s="12" t="s">
        <v>52</v>
      </c>
      <c r="M25" s="12" t="s">
        <v>53</v>
      </c>
      <c r="N25" s="12" t="s">
        <v>54</v>
      </c>
      <c r="O25" s="6"/>
      <c r="P25" s="12" t="str">
        <f t="shared" ref="P25:P42" si="2">I25</f>
        <v>Mês/ano</v>
      </c>
      <c r="Q25" s="12" t="s">
        <v>50</v>
      </c>
      <c r="R25" s="12" t="s">
        <v>51</v>
      </c>
      <c r="S25" s="12" t="s">
        <v>52</v>
      </c>
      <c r="T25" s="12" t="s">
        <v>53</v>
      </c>
      <c r="U25" s="12" t="s">
        <v>54</v>
      </c>
      <c r="V25" s="6"/>
      <c r="W25" s="12" t="str">
        <f t="shared" ref="W25:W42" si="3">P25</f>
        <v>Mês/ano</v>
      </c>
      <c r="X25" s="12" t="s">
        <v>50</v>
      </c>
      <c r="Y25" s="12" t="s">
        <v>51</v>
      </c>
      <c r="Z25" s="12" t="s">
        <v>52</v>
      </c>
      <c r="AA25" s="12" t="s">
        <v>53</v>
      </c>
      <c r="AB25" s="12" t="s">
        <v>54</v>
      </c>
      <c r="AC25" s="6"/>
      <c r="AD25" s="13" t="s">
        <v>55</v>
      </c>
      <c r="AE25" s="13" t="s">
        <v>56</v>
      </c>
      <c r="AF25" s="6" t="str">
        <f>""</f>
        <v/>
      </c>
      <c r="AG25" s="13" t="s">
        <v>55</v>
      </c>
      <c r="AH25" s="13" t="s">
        <v>57</v>
      </c>
      <c r="AI25" s="13" t="s">
        <v>58</v>
      </c>
      <c r="AJ25" s="6" t="str">
        <f>""</f>
        <v/>
      </c>
      <c r="AK25" s="6"/>
      <c r="AL25" s="12" t="s">
        <v>0</v>
      </c>
      <c r="AM25" s="12" t="s">
        <v>50</v>
      </c>
      <c r="AN25" s="12" t="s">
        <v>51</v>
      </c>
      <c r="AO25" s="12" t="s">
        <v>52</v>
      </c>
      <c r="AP25" s="12" t="s">
        <v>53</v>
      </c>
      <c r="AQ25" s="12" t="s">
        <v>54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ht="14.25" customHeight="1">
      <c r="A26" s="6"/>
      <c r="B26" s="14">
        <f t="shared" ref="B26:B42" si="5">B3</f>
        <v>44501</v>
      </c>
      <c r="C26" s="6" t="str">
        <f t="shared" ref="C26:C42" si="6">E3</f>
        <v/>
      </c>
      <c r="D26" s="6"/>
      <c r="E26" s="14">
        <f t="shared" ref="E26:E42" si="7">B26</f>
        <v>44501</v>
      </c>
      <c r="F26" s="15" t="str">
        <f t="shared" ref="F26:F42" si="8">C3/E3</f>
        <v>#DIV/0!</v>
      </c>
      <c r="G26" s="15" t="str">
        <f t="shared" ref="G26:G42" si="9">D3/E3</f>
        <v>#DIV/0!</v>
      </c>
      <c r="H26" s="6"/>
      <c r="I26" s="14">
        <f t="shared" ref="I26:I42" si="10">E26</f>
        <v>44501</v>
      </c>
      <c r="J26" s="16" t="str">
        <f t="shared" ref="J26:N26" si="1">AJ3/$E3</f>
        <v>#DIV/0!</v>
      </c>
      <c r="K26" s="16" t="str">
        <f t="shared" si="1"/>
        <v>#DIV/0!</v>
      </c>
      <c r="L26" s="16" t="str">
        <f t="shared" si="1"/>
        <v>#DIV/0!</v>
      </c>
      <c r="M26" s="16" t="str">
        <f t="shared" si="1"/>
        <v>#DIV/0!</v>
      </c>
      <c r="N26" s="16" t="str">
        <f t="shared" si="1"/>
        <v>#DIV/0!</v>
      </c>
      <c r="O26" s="6"/>
      <c r="P26" s="14">
        <f t="shared" si="2"/>
        <v>44501</v>
      </c>
      <c r="Q26" s="17" t="str">
        <f t="shared" ref="Q26:Q42" si="12">G3</f>
        <v/>
      </c>
      <c r="R26" s="17" t="str">
        <f t="shared" ref="R26:R42" si="13">J3</f>
        <v/>
      </c>
      <c r="S26" s="17" t="str">
        <f t="shared" ref="S26:S42" si="14">M3</f>
        <v/>
      </c>
      <c r="T26" s="17" t="str">
        <f t="shared" ref="T26:T42" si="15">P3</f>
        <v/>
      </c>
      <c r="U26" s="17" t="str">
        <f t="shared" ref="U26:U42" si="16">S3</f>
        <v/>
      </c>
      <c r="V26" s="6"/>
      <c r="W26" s="14">
        <f t="shared" si="3"/>
        <v>44501</v>
      </c>
      <c r="X26" s="17" t="str">
        <f t="shared" ref="X26:X42" si="17">V3</f>
        <v/>
      </c>
      <c r="Y26" s="17" t="str">
        <f t="shared" ref="Y26:Y42" si="18">Y3</f>
        <v/>
      </c>
      <c r="Z26" s="17" t="str">
        <f t="shared" ref="Z26:Z42" si="19">AB3</f>
        <v/>
      </c>
      <c r="AA26" s="17" t="str">
        <f t="shared" ref="AA26:AA42" si="20">AE3</f>
        <v/>
      </c>
      <c r="AB26" s="17" t="str">
        <f t="shared" ref="AB26:AB42" si="21">AH3</f>
        <v/>
      </c>
      <c r="AC26" s="6"/>
      <c r="AD26" s="18">
        <f>W26</f>
        <v>44501</v>
      </c>
      <c r="AE26" s="6" t="str">
        <f>AP3</f>
        <v/>
      </c>
      <c r="AF26" s="6"/>
      <c r="AG26" s="14">
        <f t="shared" ref="AG26:AG42" si="23">W26</f>
        <v>44501</v>
      </c>
      <c r="AH26" s="6" t="str">
        <f t="shared" ref="AH26:AH42" si="24">AR3</f>
        <v/>
      </c>
      <c r="AI26" s="6" t="str">
        <f t="shared" ref="AI26:AI42" si="25">AV3</f>
        <v/>
      </c>
      <c r="AJ26" s="6"/>
      <c r="AK26" s="6"/>
      <c r="AL26" s="14">
        <f t="shared" ref="AL26:AL42" si="26">AG26</f>
        <v>44501</v>
      </c>
      <c r="AM26" s="6" t="str">
        <f t="shared" ref="AM26:AQ26" si="4">AJ3/$E3</f>
        <v>#DIV/0!</v>
      </c>
      <c r="AN26" s="6" t="str">
        <f t="shared" si="4"/>
        <v>#DIV/0!</v>
      </c>
      <c r="AO26" s="6" t="str">
        <f t="shared" si="4"/>
        <v>#DIV/0!</v>
      </c>
      <c r="AP26" s="6" t="str">
        <f t="shared" si="4"/>
        <v>#DIV/0!</v>
      </c>
      <c r="AQ26" s="6" t="str">
        <f t="shared" si="4"/>
        <v>#DIV/0!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ht="14.25" customHeight="1">
      <c r="A27" s="6"/>
      <c r="B27" s="14">
        <f t="shared" si="5"/>
        <v>44531</v>
      </c>
      <c r="C27" s="6" t="str">
        <f t="shared" si="6"/>
        <v/>
      </c>
      <c r="D27" s="6"/>
      <c r="E27" s="14">
        <f t="shared" si="7"/>
        <v>44531</v>
      </c>
      <c r="F27" s="15" t="str">
        <f t="shared" si="8"/>
        <v>#DIV/0!</v>
      </c>
      <c r="G27" s="15" t="str">
        <f t="shared" si="9"/>
        <v>#DIV/0!</v>
      </c>
      <c r="H27" s="6"/>
      <c r="I27" s="14">
        <f t="shared" si="10"/>
        <v>44531</v>
      </c>
      <c r="J27" s="16" t="str">
        <f t="shared" ref="J27:N27" si="11">AJ4/$E4</f>
        <v>#DIV/0!</v>
      </c>
      <c r="K27" s="16" t="str">
        <f t="shared" si="11"/>
        <v>#DIV/0!</v>
      </c>
      <c r="L27" s="16" t="str">
        <f t="shared" si="11"/>
        <v>#DIV/0!</v>
      </c>
      <c r="M27" s="16" t="str">
        <f t="shared" si="11"/>
        <v>#DIV/0!</v>
      </c>
      <c r="N27" s="16" t="str">
        <f t="shared" si="11"/>
        <v>#DIV/0!</v>
      </c>
      <c r="O27" s="6"/>
      <c r="P27" s="14">
        <f t="shared" si="2"/>
        <v>44531</v>
      </c>
      <c r="Q27" s="17" t="str">
        <f t="shared" si="12"/>
        <v/>
      </c>
      <c r="R27" s="17" t="str">
        <f t="shared" si="13"/>
        <v/>
      </c>
      <c r="S27" s="17" t="str">
        <f t="shared" si="14"/>
        <v/>
      </c>
      <c r="T27" s="17" t="str">
        <f t="shared" si="15"/>
        <v/>
      </c>
      <c r="U27" s="17" t="str">
        <f t="shared" si="16"/>
        <v/>
      </c>
      <c r="V27" s="6"/>
      <c r="W27" s="14">
        <f t="shared" si="3"/>
        <v>44531</v>
      </c>
      <c r="X27" s="17" t="str">
        <f t="shared" si="17"/>
        <v/>
      </c>
      <c r="Y27" s="17" t="str">
        <f t="shared" si="18"/>
        <v/>
      </c>
      <c r="Z27" s="17" t="str">
        <f t="shared" si="19"/>
        <v/>
      </c>
      <c r="AA27" s="17" t="str">
        <f t="shared" si="20"/>
        <v/>
      </c>
      <c r="AB27" s="17" t="str">
        <f t="shared" si="21"/>
        <v/>
      </c>
      <c r="AC27" s="6"/>
      <c r="AD27" s="18" t="str">
        <f t="shared" ref="AD27:AE27" si="22">AO4</f>
        <v/>
      </c>
      <c r="AE27" s="6" t="str">
        <f t="shared" si="22"/>
        <v/>
      </c>
      <c r="AF27" s="6"/>
      <c r="AG27" s="14">
        <f t="shared" si="23"/>
        <v>44531</v>
      </c>
      <c r="AH27" s="6" t="str">
        <f t="shared" si="24"/>
        <v/>
      </c>
      <c r="AI27" s="6" t="str">
        <f t="shared" si="25"/>
        <v/>
      </c>
      <c r="AJ27" s="6"/>
      <c r="AK27" s="6"/>
      <c r="AL27" s="14">
        <f t="shared" si="26"/>
        <v>44531</v>
      </c>
      <c r="AM27" s="6" t="str">
        <f t="shared" ref="AM27:AQ27" si="27">AJ4/$E4</f>
        <v>#DIV/0!</v>
      </c>
      <c r="AN27" s="6" t="str">
        <f t="shared" si="27"/>
        <v>#DIV/0!</v>
      </c>
      <c r="AO27" s="6" t="str">
        <f t="shared" si="27"/>
        <v>#DIV/0!</v>
      </c>
      <c r="AP27" s="6" t="str">
        <f t="shared" si="27"/>
        <v>#DIV/0!</v>
      </c>
      <c r="AQ27" s="6" t="str">
        <f t="shared" si="27"/>
        <v>#DIV/0!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ht="14.25" customHeight="1">
      <c r="A28" s="6"/>
      <c r="B28" s="14">
        <f t="shared" si="5"/>
        <v>44562</v>
      </c>
      <c r="C28" s="6" t="str">
        <f t="shared" si="6"/>
        <v/>
      </c>
      <c r="D28" s="6"/>
      <c r="E28" s="14">
        <f t="shared" si="7"/>
        <v>44562</v>
      </c>
      <c r="F28" s="15" t="str">
        <f t="shared" si="8"/>
        <v>#DIV/0!</v>
      </c>
      <c r="G28" s="15" t="str">
        <f t="shared" si="9"/>
        <v>#DIV/0!</v>
      </c>
      <c r="H28" s="6"/>
      <c r="I28" s="14">
        <f t="shared" si="10"/>
        <v>44562</v>
      </c>
      <c r="J28" s="16" t="str">
        <f t="shared" ref="J28:N28" si="28">AJ5/$E5</f>
        <v>#DIV/0!</v>
      </c>
      <c r="K28" s="16" t="str">
        <f t="shared" si="28"/>
        <v>#DIV/0!</v>
      </c>
      <c r="L28" s="16" t="str">
        <f t="shared" si="28"/>
        <v>#DIV/0!</v>
      </c>
      <c r="M28" s="16" t="str">
        <f t="shared" si="28"/>
        <v>#DIV/0!</v>
      </c>
      <c r="N28" s="16" t="str">
        <f t="shared" si="28"/>
        <v>#DIV/0!</v>
      </c>
      <c r="O28" s="6"/>
      <c r="P28" s="14">
        <f t="shared" si="2"/>
        <v>44562</v>
      </c>
      <c r="Q28" s="17" t="str">
        <f t="shared" si="12"/>
        <v/>
      </c>
      <c r="R28" s="17" t="str">
        <f t="shared" si="13"/>
        <v/>
      </c>
      <c r="S28" s="17" t="str">
        <f t="shared" si="14"/>
        <v/>
      </c>
      <c r="T28" s="17" t="str">
        <f t="shared" si="15"/>
        <v/>
      </c>
      <c r="U28" s="17" t="str">
        <f t="shared" si="16"/>
        <v/>
      </c>
      <c r="V28" s="6"/>
      <c r="W28" s="14">
        <f t="shared" si="3"/>
        <v>44562</v>
      </c>
      <c r="X28" s="17" t="str">
        <f t="shared" si="17"/>
        <v/>
      </c>
      <c r="Y28" s="17" t="str">
        <f t="shared" si="18"/>
        <v/>
      </c>
      <c r="Z28" s="17" t="str">
        <f t="shared" si="19"/>
        <v/>
      </c>
      <c r="AA28" s="17" t="str">
        <f t="shared" si="20"/>
        <v/>
      </c>
      <c r="AB28" s="17" t="str">
        <f t="shared" si="21"/>
        <v/>
      </c>
      <c r="AC28" s="6"/>
      <c r="AD28" s="18" t="str">
        <f t="shared" ref="AD28:AE28" si="29">AO5</f>
        <v/>
      </c>
      <c r="AE28" s="6" t="str">
        <f t="shared" si="29"/>
        <v/>
      </c>
      <c r="AF28" s="6"/>
      <c r="AG28" s="14">
        <f t="shared" si="23"/>
        <v>44562</v>
      </c>
      <c r="AH28" s="6" t="str">
        <f t="shared" si="24"/>
        <v/>
      </c>
      <c r="AI28" s="6" t="str">
        <f t="shared" si="25"/>
        <v/>
      </c>
      <c r="AJ28" s="6"/>
      <c r="AK28" s="6"/>
      <c r="AL28" s="14">
        <f t="shared" si="26"/>
        <v>44562</v>
      </c>
      <c r="AM28" s="6" t="str">
        <f t="shared" ref="AM28:AQ28" si="30">AJ5/$E5</f>
        <v>#DIV/0!</v>
      </c>
      <c r="AN28" s="6" t="str">
        <f t="shared" si="30"/>
        <v>#DIV/0!</v>
      </c>
      <c r="AO28" s="6" t="str">
        <f t="shared" si="30"/>
        <v>#DIV/0!</v>
      </c>
      <c r="AP28" s="6" t="str">
        <f t="shared" si="30"/>
        <v>#DIV/0!</v>
      </c>
      <c r="AQ28" s="6" t="str">
        <f t="shared" si="30"/>
        <v>#DIV/0!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ht="14.25" customHeight="1">
      <c r="A29" s="6"/>
      <c r="B29" s="14">
        <f t="shared" si="5"/>
        <v>44593</v>
      </c>
      <c r="C29" s="6" t="str">
        <f t="shared" si="6"/>
        <v/>
      </c>
      <c r="D29" s="6"/>
      <c r="E29" s="14">
        <f t="shared" si="7"/>
        <v>44593</v>
      </c>
      <c r="F29" s="15" t="str">
        <f t="shared" si="8"/>
        <v>#DIV/0!</v>
      </c>
      <c r="G29" s="15" t="str">
        <f t="shared" si="9"/>
        <v>#DIV/0!</v>
      </c>
      <c r="H29" s="6"/>
      <c r="I29" s="14">
        <f t="shared" si="10"/>
        <v>44593</v>
      </c>
      <c r="J29" s="16" t="str">
        <f t="shared" ref="J29:N29" si="31">AJ6/$E6</f>
        <v>#DIV/0!</v>
      </c>
      <c r="K29" s="16" t="str">
        <f t="shared" si="31"/>
        <v>#DIV/0!</v>
      </c>
      <c r="L29" s="16" t="str">
        <f t="shared" si="31"/>
        <v>#DIV/0!</v>
      </c>
      <c r="M29" s="16" t="str">
        <f t="shared" si="31"/>
        <v>#DIV/0!</v>
      </c>
      <c r="N29" s="16" t="str">
        <f t="shared" si="31"/>
        <v>#DIV/0!</v>
      </c>
      <c r="O29" s="6"/>
      <c r="P29" s="14">
        <f t="shared" si="2"/>
        <v>44593</v>
      </c>
      <c r="Q29" s="17" t="str">
        <f t="shared" si="12"/>
        <v/>
      </c>
      <c r="R29" s="17" t="str">
        <f t="shared" si="13"/>
        <v/>
      </c>
      <c r="S29" s="17" t="str">
        <f t="shared" si="14"/>
        <v/>
      </c>
      <c r="T29" s="17" t="str">
        <f t="shared" si="15"/>
        <v/>
      </c>
      <c r="U29" s="17" t="str">
        <f t="shared" si="16"/>
        <v/>
      </c>
      <c r="V29" s="6"/>
      <c r="W29" s="14">
        <f t="shared" si="3"/>
        <v>44593</v>
      </c>
      <c r="X29" s="17" t="str">
        <f t="shared" si="17"/>
        <v/>
      </c>
      <c r="Y29" s="17" t="str">
        <f t="shared" si="18"/>
        <v/>
      </c>
      <c r="Z29" s="17" t="str">
        <f t="shared" si="19"/>
        <v/>
      </c>
      <c r="AA29" s="17" t="str">
        <f t="shared" si="20"/>
        <v/>
      </c>
      <c r="AB29" s="17" t="str">
        <f t="shared" si="21"/>
        <v/>
      </c>
      <c r="AC29" s="6"/>
      <c r="AD29" s="18" t="str">
        <f t="shared" ref="AD29:AE29" si="32">AO6</f>
        <v/>
      </c>
      <c r="AE29" s="6" t="str">
        <f t="shared" si="32"/>
        <v/>
      </c>
      <c r="AF29" s="6"/>
      <c r="AG29" s="14">
        <f t="shared" si="23"/>
        <v>44593</v>
      </c>
      <c r="AH29" s="6" t="str">
        <f t="shared" si="24"/>
        <v/>
      </c>
      <c r="AI29" s="6" t="str">
        <f t="shared" si="25"/>
        <v/>
      </c>
      <c r="AJ29" s="6"/>
      <c r="AK29" s="6"/>
      <c r="AL29" s="14">
        <f t="shared" si="26"/>
        <v>44593</v>
      </c>
      <c r="AM29" s="6" t="str">
        <f t="shared" ref="AM29:AQ29" si="33">AJ6/$E6</f>
        <v>#DIV/0!</v>
      </c>
      <c r="AN29" s="6" t="str">
        <f t="shared" si="33"/>
        <v>#DIV/0!</v>
      </c>
      <c r="AO29" s="6" t="str">
        <f t="shared" si="33"/>
        <v>#DIV/0!</v>
      </c>
      <c r="AP29" s="6" t="str">
        <f t="shared" si="33"/>
        <v>#DIV/0!</v>
      </c>
      <c r="AQ29" s="6" t="str">
        <f t="shared" si="33"/>
        <v>#DIV/0!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ht="14.25" customHeight="1">
      <c r="A30" s="6"/>
      <c r="B30" s="14">
        <f t="shared" si="5"/>
        <v>44621</v>
      </c>
      <c r="C30" s="6">
        <f t="shared" si="6"/>
        <v>295</v>
      </c>
      <c r="D30" s="6"/>
      <c r="E30" s="14">
        <f t="shared" si="7"/>
        <v>44621</v>
      </c>
      <c r="F30" s="15">
        <f t="shared" si="8"/>
        <v>0.6542372881</v>
      </c>
      <c r="G30" s="15">
        <f t="shared" si="9"/>
        <v>0.3457627119</v>
      </c>
      <c r="H30" s="6"/>
      <c r="I30" s="14">
        <f t="shared" si="10"/>
        <v>44621</v>
      </c>
      <c r="J30" s="16">
        <f t="shared" ref="J30:N30" si="34">AJ7/$E7</f>
        <v>0.9559322034</v>
      </c>
      <c r="K30" s="16">
        <f t="shared" si="34"/>
        <v>0.03389830508</v>
      </c>
      <c r="L30" s="16">
        <f t="shared" si="34"/>
        <v>0.01016949153</v>
      </c>
      <c r="M30" s="16">
        <f t="shared" si="34"/>
        <v>0</v>
      </c>
      <c r="N30" s="16">
        <f t="shared" si="34"/>
        <v>0</v>
      </c>
      <c r="O30" s="6"/>
      <c r="P30" s="14">
        <f t="shared" si="2"/>
        <v>44621</v>
      </c>
      <c r="Q30" s="17">
        <f t="shared" si="12"/>
        <v>1268.848736</v>
      </c>
      <c r="R30" s="17">
        <f t="shared" si="13"/>
        <v>1221.648478</v>
      </c>
      <c r="S30" s="17">
        <f t="shared" si="14"/>
        <v>1327.758242</v>
      </c>
      <c r="T30" s="17" t="str">
        <f t="shared" si="15"/>
        <v/>
      </c>
      <c r="U30" s="17" t="str">
        <f t="shared" si="16"/>
        <v/>
      </c>
      <c r="V30" s="6"/>
      <c r="W30" s="14">
        <f t="shared" si="3"/>
        <v>44621</v>
      </c>
      <c r="X30" s="17">
        <f t="shared" si="17"/>
        <v>1391.923194</v>
      </c>
      <c r="Y30" s="17">
        <f t="shared" si="18"/>
        <v>1412.671927</v>
      </c>
      <c r="Z30" s="17">
        <f t="shared" si="19"/>
        <v>1442.499196</v>
      </c>
      <c r="AA30" s="17" t="str">
        <f t="shared" si="20"/>
        <v/>
      </c>
      <c r="AB30" s="17" t="str">
        <f t="shared" si="21"/>
        <v/>
      </c>
      <c r="AC30" s="6"/>
      <c r="AD30" s="18">
        <f t="shared" ref="AD30:AE30" si="35">AO7</f>
        <v>44645.45669</v>
      </c>
      <c r="AE30" s="6">
        <f t="shared" si="35"/>
        <v>1528</v>
      </c>
      <c r="AF30" s="6"/>
      <c r="AG30" s="14">
        <f t="shared" si="23"/>
        <v>44621</v>
      </c>
      <c r="AH30" s="6">
        <f t="shared" si="24"/>
        <v>91</v>
      </c>
      <c r="AI30" s="6">
        <f t="shared" si="25"/>
        <v>84</v>
      </c>
      <c r="AJ30" s="6"/>
      <c r="AK30" s="6"/>
      <c r="AL30" s="14">
        <f t="shared" si="26"/>
        <v>44621</v>
      </c>
      <c r="AM30" s="6">
        <f t="shared" ref="AM30:AQ30" si="36">AJ7/$E7</f>
        <v>0.9559322034</v>
      </c>
      <c r="AN30" s="6">
        <f t="shared" si="36"/>
        <v>0.03389830508</v>
      </c>
      <c r="AO30" s="6">
        <f t="shared" si="36"/>
        <v>0.01016949153</v>
      </c>
      <c r="AP30" s="6">
        <f t="shared" si="36"/>
        <v>0</v>
      </c>
      <c r="AQ30" s="6">
        <f t="shared" si="36"/>
        <v>0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ht="14.25" customHeight="1">
      <c r="A31" s="6"/>
      <c r="B31" s="14">
        <f t="shared" si="5"/>
        <v>44652</v>
      </c>
      <c r="C31" s="6">
        <f t="shared" si="6"/>
        <v>466</v>
      </c>
      <c r="D31" s="6"/>
      <c r="E31" s="14">
        <f t="shared" si="7"/>
        <v>44652</v>
      </c>
      <c r="F31" s="15">
        <f t="shared" si="8"/>
        <v>0.8454935622</v>
      </c>
      <c r="G31" s="15">
        <f t="shared" si="9"/>
        <v>0.1545064378</v>
      </c>
      <c r="H31" s="6"/>
      <c r="I31" s="14">
        <f t="shared" si="10"/>
        <v>44652</v>
      </c>
      <c r="J31" s="16">
        <f t="shared" ref="J31:N31" si="37">AJ8/$E8</f>
        <v>0.9592274678</v>
      </c>
      <c r="K31" s="16">
        <f t="shared" si="37"/>
        <v>0.03004291845</v>
      </c>
      <c r="L31" s="16">
        <f t="shared" si="37"/>
        <v>0.008583690987</v>
      </c>
      <c r="M31" s="16">
        <f t="shared" si="37"/>
        <v>0.002145922747</v>
      </c>
      <c r="N31" s="16">
        <f t="shared" si="37"/>
        <v>0</v>
      </c>
      <c r="O31" s="6"/>
      <c r="P31" s="14">
        <f t="shared" si="2"/>
        <v>44652</v>
      </c>
      <c r="Q31" s="17">
        <f t="shared" si="12"/>
        <v>1239.259402</v>
      </c>
      <c r="R31" s="17">
        <f t="shared" si="13"/>
        <v>1279.981054</v>
      </c>
      <c r="S31" s="17">
        <f t="shared" si="14"/>
        <v>1106.594492</v>
      </c>
      <c r="T31" s="17" t="str">
        <f t="shared" si="15"/>
        <v/>
      </c>
      <c r="U31" s="17" t="str">
        <f t="shared" si="16"/>
        <v/>
      </c>
      <c r="V31" s="6"/>
      <c r="W31" s="14">
        <f t="shared" si="3"/>
        <v>44652</v>
      </c>
      <c r="X31" s="17">
        <f t="shared" si="17"/>
        <v>1394.055599</v>
      </c>
      <c r="Y31" s="17">
        <f t="shared" si="18"/>
        <v>1399.840885</v>
      </c>
      <c r="Z31" s="17">
        <f t="shared" si="19"/>
        <v>1410.98995</v>
      </c>
      <c r="AA31" s="17">
        <f t="shared" si="20"/>
        <v>1419.59542</v>
      </c>
      <c r="AB31" s="17" t="str">
        <f t="shared" si="21"/>
        <v/>
      </c>
      <c r="AC31" s="6"/>
      <c r="AD31" s="18">
        <f t="shared" ref="AD31:AE31" si="38">AO8</f>
        <v>44677.45506</v>
      </c>
      <c r="AE31" s="6">
        <f t="shared" si="38"/>
        <v>1490</v>
      </c>
      <c r="AF31" s="6"/>
      <c r="AG31" s="14">
        <f t="shared" si="23"/>
        <v>44652</v>
      </c>
      <c r="AH31" s="6">
        <f t="shared" si="24"/>
        <v>81</v>
      </c>
      <c r="AI31" s="6">
        <f t="shared" si="25"/>
        <v>131</v>
      </c>
      <c r="AJ31" s="6"/>
      <c r="AK31" s="6"/>
      <c r="AL31" s="14">
        <f t="shared" si="26"/>
        <v>44652</v>
      </c>
      <c r="AM31" s="6">
        <f t="shared" ref="AM31:AQ31" si="39">AJ8/$E8</f>
        <v>0.9592274678</v>
      </c>
      <c r="AN31" s="6">
        <f t="shared" si="39"/>
        <v>0.03004291845</v>
      </c>
      <c r="AO31" s="6">
        <f t="shared" si="39"/>
        <v>0.008583690987</v>
      </c>
      <c r="AP31" s="6">
        <f t="shared" si="39"/>
        <v>0.002145922747</v>
      </c>
      <c r="AQ31" s="6">
        <f t="shared" si="39"/>
        <v>0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ht="14.25" customHeight="1">
      <c r="A32" s="6"/>
      <c r="B32" s="14">
        <f t="shared" si="5"/>
        <v>44682</v>
      </c>
      <c r="C32" s="6">
        <f t="shared" si="6"/>
        <v>405</v>
      </c>
      <c r="D32" s="6"/>
      <c r="E32" s="14">
        <f t="shared" si="7"/>
        <v>44682</v>
      </c>
      <c r="F32" s="15">
        <f t="shared" si="8"/>
        <v>0.9975308642</v>
      </c>
      <c r="G32" s="15">
        <f t="shared" si="9"/>
        <v>0.002469135802</v>
      </c>
      <c r="H32" s="6"/>
      <c r="I32" s="14">
        <f t="shared" si="10"/>
        <v>44682</v>
      </c>
      <c r="J32" s="16">
        <f t="shared" ref="J32:N32" si="40">AJ9/$E9</f>
        <v>0.9555555556</v>
      </c>
      <c r="K32" s="16">
        <f t="shared" si="40"/>
        <v>0.03703703704</v>
      </c>
      <c r="L32" s="16">
        <f t="shared" si="40"/>
        <v>0.004938271605</v>
      </c>
      <c r="M32" s="16">
        <f t="shared" si="40"/>
        <v>0.002469135802</v>
      </c>
      <c r="N32" s="16">
        <f t="shared" si="40"/>
        <v>0</v>
      </c>
      <c r="O32" s="6"/>
      <c r="P32" s="14">
        <f t="shared" si="2"/>
        <v>44682</v>
      </c>
      <c r="Q32" s="17">
        <f t="shared" si="12"/>
        <v>1172.713483</v>
      </c>
      <c r="R32" s="17">
        <f t="shared" si="13"/>
        <v>1172.758611</v>
      </c>
      <c r="S32" s="17">
        <f t="shared" si="14"/>
        <v>1137.648827</v>
      </c>
      <c r="T32" s="17">
        <f t="shared" si="15"/>
        <v>1178.871345</v>
      </c>
      <c r="U32" s="17" t="str">
        <f t="shared" si="16"/>
        <v/>
      </c>
      <c r="V32" s="6"/>
      <c r="W32" s="14">
        <f t="shared" si="3"/>
        <v>44682</v>
      </c>
      <c r="X32" s="17">
        <f t="shared" si="17"/>
        <v>1376</v>
      </c>
      <c r="Y32" s="17" t="str">
        <f t="shared" si="18"/>
        <v/>
      </c>
      <c r="Z32" s="17" t="str">
        <f t="shared" si="19"/>
        <v/>
      </c>
      <c r="AA32" s="17" t="str">
        <f t="shared" si="20"/>
        <v/>
      </c>
      <c r="AB32" s="17" t="str">
        <f t="shared" si="21"/>
        <v/>
      </c>
      <c r="AC32" s="6"/>
      <c r="AD32" s="18">
        <f t="shared" ref="AD32:AE32" si="41">AO9</f>
        <v>44708.49652</v>
      </c>
      <c r="AE32" s="6">
        <f t="shared" si="41"/>
        <v>1376</v>
      </c>
      <c r="AF32" s="6"/>
      <c r="AG32" s="14">
        <f t="shared" si="23"/>
        <v>44682</v>
      </c>
      <c r="AH32" s="6">
        <f t="shared" si="24"/>
        <v>171</v>
      </c>
      <c r="AI32" s="6">
        <f t="shared" si="25"/>
        <v>1</v>
      </c>
      <c r="AJ32" s="6"/>
      <c r="AK32" s="6"/>
      <c r="AL32" s="14">
        <f t="shared" si="26"/>
        <v>44682</v>
      </c>
      <c r="AM32" s="6">
        <f t="shared" ref="AM32:AQ32" si="42">AJ9/$E9</f>
        <v>0.9555555556</v>
      </c>
      <c r="AN32" s="6">
        <f t="shared" si="42"/>
        <v>0.03703703704</v>
      </c>
      <c r="AO32" s="6">
        <f t="shared" si="42"/>
        <v>0.004938271605</v>
      </c>
      <c r="AP32" s="6">
        <f t="shared" si="42"/>
        <v>0.002469135802</v>
      </c>
      <c r="AQ32" s="6">
        <f t="shared" si="42"/>
        <v>0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ht="14.25" customHeight="1">
      <c r="A33" s="6"/>
      <c r="B33" s="14">
        <f t="shared" si="5"/>
        <v>44713</v>
      </c>
      <c r="C33" s="6">
        <f t="shared" si="6"/>
        <v>421</v>
      </c>
      <c r="D33" s="6"/>
      <c r="E33" s="14">
        <f t="shared" si="7"/>
        <v>44713</v>
      </c>
      <c r="F33" s="15">
        <f t="shared" si="8"/>
        <v>1</v>
      </c>
      <c r="G33" s="15">
        <f t="shared" si="9"/>
        <v>0</v>
      </c>
      <c r="H33" s="6"/>
      <c r="I33" s="14">
        <f t="shared" si="10"/>
        <v>44713</v>
      </c>
      <c r="J33" s="16">
        <f t="shared" ref="J33:N33" si="43">AJ10/$E10</f>
        <v>0.9477434679</v>
      </c>
      <c r="K33" s="16">
        <f t="shared" si="43"/>
        <v>0.03800475059</v>
      </c>
      <c r="L33" s="16">
        <f t="shared" si="43"/>
        <v>0.01187648456</v>
      </c>
      <c r="M33" s="16">
        <f t="shared" si="43"/>
        <v>0.002375296912</v>
      </c>
      <c r="N33" s="16">
        <f t="shared" si="43"/>
        <v>0</v>
      </c>
      <c r="O33" s="6"/>
      <c r="P33" s="14">
        <f t="shared" si="2"/>
        <v>44713</v>
      </c>
      <c r="Q33" s="17">
        <f t="shared" si="12"/>
        <v>1134.604202</v>
      </c>
      <c r="R33" s="17">
        <f t="shared" si="13"/>
        <v>1155.468749</v>
      </c>
      <c r="S33" s="17">
        <f t="shared" si="14"/>
        <v>1185.566671</v>
      </c>
      <c r="T33" s="17">
        <f t="shared" si="15"/>
        <v>1195.300752</v>
      </c>
      <c r="U33" s="17" t="str">
        <f t="shared" si="16"/>
        <v/>
      </c>
      <c r="V33" s="6"/>
      <c r="W33" s="14">
        <f t="shared" si="3"/>
        <v>44713</v>
      </c>
      <c r="X33" s="17" t="str">
        <f t="shared" si="17"/>
        <v/>
      </c>
      <c r="Y33" s="17" t="str">
        <f t="shared" si="18"/>
        <v/>
      </c>
      <c r="Z33" s="17" t="str">
        <f t="shared" si="19"/>
        <v/>
      </c>
      <c r="AA33" s="17" t="str">
        <f t="shared" si="20"/>
        <v/>
      </c>
      <c r="AB33" s="17" t="str">
        <f t="shared" si="21"/>
        <v/>
      </c>
      <c r="AC33" s="6"/>
      <c r="AD33" s="18">
        <f t="shared" ref="AD33:AE33" si="44">AO10</f>
        <v>44718.49935</v>
      </c>
      <c r="AE33" s="6">
        <f t="shared" si="44"/>
        <v>1358</v>
      </c>
      <c r="AF33" s="6"/>
      <c r="AG33" s="14">
        <f t="shared" si="23"/>
        <v>44713</v>
      </c>
      <c r="AH33" s="6">
        <f t="shared" si="24"/>
        <v>133</v>
      </c>
      <c r="AI33" s="6">
        <f t="shared" si="25"/>
        <v>0</v>
      </c>
      <c r="AJ33" s="6"/>
      <c r="AK33" s="6"/>
      <c r="AL33" s="14">
        <f t="shared" si="26"/>
        <v>44713</v>
      </c>
      <c r="AM33" s="6">
        <f t="shared" ref="AM33:AQ33" si="45">AJ10/$E10</f>
        <v>0.9477434679</v>
      </c>
      <c r="AN33" s="6">
        <f t="shared" si="45"/>
        <v>0.03800475059</v>
      </c>
      <c r="AO33" s="6">
        <f t="shared" si="45"/>
        <v>0.01187648456</v>
      </c>
      <c r="AP33" s="6">
        <f t="shared" si="45"/>
        <v>0.002375296912</v>
      </c>
      <c r="AQ33" s="6">
        <f t="shared" si="45"/>
        <v>0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ht="14.25" customHeight="1">
      <c r="A34" s="6"/>
      <c r="B34" s="14">
        <f t="shared" si="5"/>
        <v>44743</v>
      </c>
      <c r="C34" s="6">
        <f t="shared" si="6"/>
        <v>454</v>
      </c>
      <c r="D34" s="6"/>
      <c r="E34" s="14">
        <f t="shared" si="7"/>
        <v>44743</v>
      </c>
      <c r="F34" s="15">
        <f t="shared" si="8"/>
        <v>0.9977973568</v>
      </c>
      <c r="G34" s="15">
        <f t="shared" si="9"/>
        <v>0.002202643172</v>
      </c>
      <c r="H34" s="6"/>
      <c r="I34" s="14">
        <f t="shared" si="10"/>
        <v>44743</v>
      </c>
      <c r="J34" s="16">
        <f t="shared" ref="J34:N34" si="46">AJ11/$E11</f>
        <v>0.9515418502</v>
      </c>
      <c r="K34" s="16">
        <f t="shared" si="46"/>
        <v>0.04405286344</v>
      </c>
      <c r="L34" s="16">
        <f t="shared" si="46"/>
        <v>0.004405286344</v>
      </c>
      <c r="M34" s="16">
        <f t="shared" si="46"/>
        <v>0</v>
      </c>
      <c r="N34" s="16">
        <f t="shared" si="46"/>
        <v>0</v>
      </c>
      <c r="O34" s="6"/>
      <c r="P34" s="14">
        <f t="shared" si="2"/>
        <v>44743</v>
      </c>
      <c r="Q34" s="17">
        <f t="shared" si="12"/>
        <v>1137.127327</v>
      </c>
      <c r="R34" s="17">
        <f t="shared" si="13"/>
        <v>1156.656648</v>
      </c>
      <c r="S34" s="17">
        <f t="shared" si="14"/>
        <v>1125.997476</v>
      </c>
      <c r="T34" s="17" t="str">
        <f t="shared" si="15"/>
        <v/>
      </c>
      <c r="U34" s="17" t="str">
        <f t="shared" si="16"/>
        <v/>
      </c>
      <c r="V34" s="6"/>
      <c r="W34" s="14">
        <f t="shared" si="3"/>
        <v>44743</v>
      </c>
      <c r="X34" s="17">
        <f t="shared" si="17"/>
        <v>1420.769231</v>
      </c>
      <c r="Y34" s="17" t="str">
        <f t="shared" si="18"/>
        <v/>
      </c>
      <c r="Z34" s="17" t="str">
        <f t="shared" si="19"/>
        <v/>
      </c>
      <c r="AA34" s="17" t="str">
        <f t="shared" si="20"/>
        <v/>
      </c>
      <c r="AB34" s="17" t="str">
        <f t="shared" si="21"/>
        <v/>
      </c>
      <c r="AC34" s="6"/>
      <c r="AD34" s="18">
        <f t="shared" ref="AD34:AE34" si="47">AO11</f>
        <v>44757.50983</v>
      </c>
      <c r="AE34" s="6">
        <f t="shared" si="47"/>
        <v>1446</v>
      </c>
      <c r="AF34" s="6"/>
      <c r="AG34" s="14">
        <f t="shared" si="23"/>
        <v>44743</v>
      </c>
      <c r="AH34" s="6">
        <f t="shared" si="24"/>
        <v>89</v>
      </c>
      <c r="AI34" s="6">
        <f t="shared" si="25"/>
        <v>13</v>
      </c>
      <c r="AJ34" s="6"/>
      <c r="AK34" s="6"/>
      <c r="AL34" s="14">
        <f t="shared" si="26"/>
        <v>44743</v>
      </c>
      <c r="AM34" s="6">
        <f t="shared" ref="AM34:AQ34" si="48">AJ11/$E11</f>
        <v>0.9515418502</v>
      </c>
      <c r="AN34" s="6">
        <f t="shared" si="48"/>
        <v>0.04405286344</v>
      </c>
      <c r="AO34" s="6">
        <f t="shared" si="48"/>
        <v>0.004405286344</v>
      </c>
      <c r="AP34" s="6">
        <f t="shared" si="48"/>
        <v>0</v>
      </c>
      <c r="AQ34" s="6">
        <f t="shared" si="48"/>
        <v>0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ht="14.25" customHeight="1">
      <c r="A35" s="6"/>
      <c r="B35" s="14">
        <f t="shared" si="5"/>
        <v>44774</v>
      </c>
      <c r="C35" s="6">
        <f t="shared" si="6"/>
        <v>679</v>
      </c>
      <c r="D35" s="6"/>
      <c r="E35" s="14">
        <f t="shared" si="7"/>
        <v>44774</v>
      </c>
      <c r="F35" s="15">
        <f t="shared" si="8"/>
        <v>0.9057437408</v>
      </c>
      <c r="G35" s="15">
        <f t="shared" si="9"/>
        <v>0.0942562592</v>
      </c>
      <c r="H35" s="6"/>
      <c r="I35" s="14">
        <f t="shared" si="10"/>
        <v>44774</v>
      </c>
      <c r="J35" s="16">
        <f t="shared" ref="J35:N35" si="49">AJ12/$E12</f>
        <v>0.9587628866</v>
      </c>
      <c r="K35" s="16">
        <f t="shared" si="49"/>
        <v>0.029455081</v>
      </c>
      <c r="L35" s="16">
        <f t="shared" si="49"/>
        <v>0.0058910162</v>
      </c>
      <c r="M35" s="16">
        <f t="shared" si="49"/>
        <v>0.0058910162</v>
      </c>
      <c r="N35" s="16">
        <f t="shared" si="49"/>
        <v>0</v>
      </c>
      <c r="O35" s="6"/>
      <c r="P35" s="14">
        <f t="shared" si="2"/>
        <v>44774</v>
      </c>
      <c r="Q35" s="17">
        <f t="shared" si="12"/>
        <v>1204.033391</v>
      </c>
      <c r="R35" s="17">
        <f t="shared" si="13"/>
        <v>1242.709005</v>
      </c>
      <c r="S35" s="17">
        <f t="shared" si="14"/>
        <v>1269.243173</v>
      </c>
      <c r="T35" s="17">
        <f t="shared" si="15"/>
        <v>1228.541762</v>
      </c>
      <c r="U35" s="17" t="str">
        <f t="shared" si="16"/>
        <v/>
      </c>
      <c r="V35" s="6"/>
      <c r="W35" s="14">
        <f t="shared" si="3"/>
        <v>44774</v>
      </c>
      <c r="X35" s="17">
        <f t="shared" si="17"/>
        <v>1392.836519</v>
      </c>
      <c r="Y35" s="17" t="str">
        <f t="shared" si="18"/>
        <v/>
      </c>
      <c r="Z35" s="17" t="str">
        <f t="shared" si="19"/>
        <v/>
      </c>
      <c r="AA35" s="17" t="str">
        <f t="shared" si="20"/>
        <v/>
      </c>
      <c r="AB35" s="17" t="str">
        <f t="shared" si="21"/>
        <v/>
      </c>
      <c r="AC35" s="6"/>
      <c r="AD35" s="18">
        <f t="shared" ref="AD35:AE35" si="50">AO12</f>
        <v>44790.47605</v>
      </c>
      <c r="AE35" s="6">
        <f t="shared" si="50"/>
        <v>1476</v>
      </c>
      <c r="AF35" s="6"/>
      <c r="AG35" s="14">
        <f t="shared" si="23"/>
        <v>44774</v>
      </c>
      <c r="AH35" s="6">
        <f t="shared" si="24"/>
        <v>150</v>
      </c>
      <c r="AI35" s="6">
        <f t="shared" si="25"/>
        <v>26</v>
      </c>
      <c r="AJ35" s="6"/>
      <c r="AK35" s="6"/>
      <c r="AL35" s="14">
        <f t="shared" si="26"/>
        <v>44774</v>
      </c>
      <c r="AM35" s="6">
        <f t="shared" ref="AM35:AQ35" si="51">AJ12/$E12</f>
        <v>0.9587628866</v>
      </c>
      <c r="AN35" s="6">
        <f t="shared" si="51"/>
        <v>0.029455081</v>
      </c>
      <c r="AO35" s="6">
        <f t="shared" si="51"/>
        <v>0.0058910162</v>
      </c>
      <c r="AP35" s="6">
        <f t="shared" si="51"/>
        <v>0.0058910162</v>
      </c>
      <c r="AQ35" s="6">
        <f t="shared" si="51"/>
        <v>0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ht="14.25" customHeight="1">
      <c r="A36" s="6"/>
      <c r="B36" s="14">
        <f t="shared" si="5"/>
        <v>44805</v>
      </c>
      <c r="C36" s="6">
        <f t="shared" si="6"/>
        <v>408</v>
      </c>
      <c r="D36" s="6"/>
      <c r="E36" s="14">
        <f t="shared" si="7"/>
        <v>44805</v>
      </c>
      <c r="F36" s="15">
        <f t="shared" si="8"/>
        <v>0.8725490196</v>
      </c>
      <c r="G36" s="15">
        <f t="shared" si="9"/>
        <v>0.1274509804</v>
      </c>
      <c r="H36" s="6"/>
      <c r="I36" s="14">
        <f t="shared" si="10"/>
        <v>44805</v>
      </c>
      <c r="J36" s="16">
        <f t="shared" ref="J36:N36" si="52">AJ13/$E13</f>
        <v>0.931372549</v>
      </c>
      <c r="K36" s="16">
        <f t="shared" si="52"/>
        <v>0.04656862745</v>
      </c>
      <c r="L36" s="16">
        <f t="shared" si="52"/>
        <v>0.02205882353</v>
      </c>
      <c r="M36" s="16">
        <f t="shared" si="52"/>
        <v>0</v>
      </c>
      <c r="N36" s="16">
        <f t="shared" si="52"/>
        <v>0</v>
      </c>
      <c r="O36" s="6"/>
      <c r="P36" s="14">
        <f t="shared" si="2"/>
        <v>44805</v>
      </c>
      <c r="Q36" s="17">
        <f t="shared" si="12"/>
        <v>1198.409195</v>
      </c>
      <c r="R36" s="17">
        <f t="shared" si="13"/>
        <v>1196.083636</v>
      </c>
      <c r="S36" s="17">
        <f t="shared" si="14"/>
        <v>1256.398298</v>
      </c>
      <c r="T36" s="17" t="str">
        <f t="shared" si="15"/>
        <v/>
      </c>
      <c r="U36" s="17" t="str">
        <f t="shared" si="16"/>
        <v/>
      </c>
      <c r="V36" s="6"/>
      <c r="W36" s="14">
        <f t="shared" si="3"/>
        <v>44805</v>
      </c>
      <c r="X36" s="17">
        <f t="shared" si="17"/>
        <v>1408.581905</v>
      </c>
      <c r="Y36" s="17">
        <f t="shared" si="18"/>
        <v>1418.499459</v>
      </c>
      <c r="Z36" s="17" t="str">
        <f t="shared" si="19"/>
        <v/>
      </c>
      <c r="AA36" s="17" t="str">
        <f t="shared" si="20"/>
        <v/>
      </c>
      <c r="AB36" s="17" t="str">
        <f t="shared" si="21"/>
        <v/>
      </c>
      <c r="AC36" s="6"/>
      <c r="AD36" s="18">
        <f t="shared" ref="AD36:AE36" si="53">AO13</f>
        <v>44826.44065</v>
      </c>
      <c r="AE36" s="6">
        <f t="shared" si="53"/>
        <v>1492</v>
      </c>
      <c r="AF36" s="6"/>
      <c r="AG36" s="14">
        <f t="shared" si="23"/>
        <v>44805</v>
      </c>
      <c r="AH36" s="6">
        <f t="shared" si="24"/>
        <v>119</v>
      </c>
      <c r="AI36" s="6">
        <f t="shared" si="25"/>
        <v>60</v>
      </c>
      <c r="AJ36" s="6"/>
      <c r="AK36" s="6"/>
      <c r="AL36" s="14">
        <f t="shared" si="26"/>
        <v>44805</v>
      </c>
      <c r="AM36" s="6">
        <f t="shared" ref="AM36:AQ36" si="54">AJ13/$E13</f>
        <v>0.931372549</v>
      </c>
      <c r="AN36" s="6">
        <f t="shared" si="54"/>
        <v>0.04656862745</v>
      </c>
      <c r="AO36" s="6">
        <f t="shared" si="54"/>
        <v>0.02205882353</v>
      </c>
      <c r="AP36" s="6">
        <f t="shared" si="54"/>
        <v>0</v>
      </c>
      <c r="AQ36" s="6">
        <f t="shared" si="54"/>
        <v>0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ht="14.25" customHeight="1">
      <c r="A37" s="6"/>
      <c r="B37" s="14">
        <f t="shared" si="5"/>
        <v>44835</v>
      </c>
      <c r="C37" s="6">
        <f t="shared" si="6"/>
        <v>117</v>
      </c>
      <c r="D37" s="6"/>
      <c r="E37" s="14">
        <f t="shared" si="7"/>
        <v>44835</v>
      </c>
      <c r="F37" s="15">
        <f t="shared" si="8"/>
        <v>0.641025641</v>
      </c>
      <c r="G37" s="15">
        <f t="shared" si="9"/>
        <v>0.358974359</v>
      </c>
      <c r="H37" s="6"/>
      <c r="I37" s="14">
        <f t="shared" si="10"/>
        <v>44835</v>
      </c>
      <c r="J37" s="16">
        <f t="shared" ref="J37:N37" si="55">AJ14/$E14</f>
        <v>0.9487179487</v>
      </c>
      <c r="K37" s="16">
        <f t="shared" si="55"/>
        <v>0.05128205128</v>
      </c>
      <c r="L37" s="16">
        <f t="shared" si="55"/>
        <v>0</v>
      </c>
      <c r="M37" s="16">
        <f t="shared" si="55"/>
        <v>0</v>
      </c>
      <c r="N37" s="16">
        <f t="shared" si="55"/>
        <v>0</v>
      </c>
      <c r="O37" s="6"/>
      <c r="P37" s="14">
        <f t="shared" si="2"/>
        <v>44835</v>
      </c>
      <c r="Q37" s="17">
        <f t="shared" si="12"/>
        <v>1279.15833</v>
      </c>
      <c r="R37" s="17">
        <f t="shared" si="13"/>
        <v>1319.069444</v>
      </c>
      <c r="S37" s="17" t="str">
        <f t="shared" si="14"/>
        <v/>
      </c>
      <c r="T37" s="17" t="str">
        <f t="shared" si="15"/>
        <v/>
      </c>
      <c r="U37" s="17" t="str">
        <f t="shared" si="16"/>
        <v/>
      </c>
      <c r="V37" s="6"/>
      <c r="W37" s="14">
        <f t="shared" si="3"/>
        <v>44835</v>
      </c>
      <c r="X37" s="17">
        <f t="shared" si="17"/>
        <v>1399.382205</v>
      </c>
      <c r="Y37" s="17">
        <f t="shared" si="18"/>
        <v>1390.55799</v>
      </c>
      <c r="Z37" s="17" t="str">
        <f t="shared" si="19"/>
        <v/>
      </c>
      <c r="AA37" s="17" t="str">
        <f t="shared" si="20"/>
        <v/>
      </c>
      <c r="AB37" s="17" t="str">
        <f t="shared" si="21"/>
        <v/>
      </c>
      <c r="AC37" s="6"/>
      <c r="AD37" s="18">
        <f t="shared" ref="AD37:AE37" si="56">AO14</f>
        <v>44858.45897</v>
      </c>
      <c r="AE37" s="6">
        <f t="shared" si="56"/>
        <v>1481</v>
      </c>
      <c r="AF37" s="6"/>
      <c r="AG37" s="14">
        <f t="shared" si="23"/>
        <v>44835</v>
      </c>
      <c r="AH37" s="6">
        <f t="shared" si="24"/>
        <v>38</v>
      </c>
      <c r="AI37" s="6">
        <f t="shared" si="25"/>
        <v>35</v>
      </c>
      <c r="AJ37" s="6"/>
      <c r="AK37" s="6"/>
      <c r="AL37" s="14">
        <f t="shared" si="26"/>
        <v>44835</v>
      </c>
      <c r="AM37" s="6">
        <f t="shared" ref="AM37:AQ37" si="57">AJ14/$E14</f>
        <v>0.9487179487</v>
      </c>
      <c r="AN37" s="6">
        <f t="shared" si="57"/>
        <v>0.05128205128</v>
      </c>
      <c r="AO37" s="6">
        <f t="shared" si="57"/>
        <v>0</v>
      </c>
      <c r="AP37" s="6">
        <f t="shared" si="57"/>
        <v>0</v>
      </c>
      <c r="AQ37" s="6">
        <f t="shared" si="57"/>
        <v>0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ht="14.25" customHeight="1">
      <c r="A38" s="6"/>
      <c r="B38" s="14">
        <f t="shared" si="5"/>
        <v>44866</v>
      </c>
      <c r="C38" s="6">
        <f t="shared" si="6"/>
        <v>323</v>
      </c>
      <c r="D38" s="6"/>
      <c r="E38" s="14">
        <f t="shared" si="7"/>
        <v>44866</v>
      </c>
      <c r="F38" s="15">
        <f t="shared" si="8"/>
        <v>0.7027863777</v>
      </c>
      <c r="G38" s="15">
        <f t="shared" si="9"/>
        <v>0.2972136223</v>
      </c>
      <c r="H38" s="6"/>
      <c r="I38" s="14">
        <f t="shared" si="10"/>
        <v>44866</v>
      </c>
      <c r="J38" s="16">
        <f t="shared" ref="J38:N38" si="58">AJ15/$E15</f>
        <v>0.8947368421</v>
      </c>
      <c r="K38" s="16">
        <f t="shared" si="58"/>
        <v>0.04334365325</v>
      </c>
      <c r="L38" s="16">
        <f t="shared" si="58"/>
        <v>0.05572755418</v>
      </c>
      <c r="M38" s="16">
        <f t="shared" si="58"/>
        <v>0.003095975232</v>
      </c>
      <c r="N38" s="16">
        <f t="shared" si="58"/>
        <v>0.003095975232</v>
      </c>
      <c r="O38" s="6"/>
      <c r="P38" s="14">
        <f t="shared" si="2"/>
        <v>44866</v>
      </c>
      <c r="Q38" s="17">
        <f t="shared" si="12"/>
        <v>1193.809298</v>
      </c>
      <c r="R38" s="17">
        <f t="shared" si="13"/>
        <v>1217.880719</v>
      </c>
      <c r="S38" s="17">
        <f t="shared" si="14"/>
        <v>1203.047282</v>
      </c>
      <c r="T38" s="17">
        <f t="shared" si="15"/>
        <v>1140.823529</v>
      </c>
      <c r="U38" s="17">
        <f t="shared" si="16"/>
        <v>1175.725322</v>
      </c>
      <c r="V38" s="6"/>
      <c r="W38" s="14">
        <f t="shared" si="3"/>
        <v>44866</v>
      </c>
      <c r="X38" s="17">
        <f t="shared" si="17"/>
        <v>1417.89827</v>
      </c>
      <c r="Y38" s="17">
        <f t="shared" si="18"/>
        <v>1421.305187</v>
      </c>
      <c r="Z38" s="17">
        <f t="shared" si="19"/>
        <v>1425.048507</v>
      </c>
      <c r="AA38" s="17" t="str">
        <f t="shared" si="20"/>
        <v/>
      </c>
      <c r="AB38" s="17" t="str">
        <f t="shared" si="21"/>
        <v/>
      </c>
      <c r="AC38" s="6"/>
      <c r="AD38" s="18">
        <f t="shared" ref="AD38:AE38" si="59">AO15</f>
        <v>44870.50329</v>
      </c>
      <c r="AE38" s="6">
        <f t="shared" si="59"/>
        <v>1602</v>
      </c>
      <c r="AF38" s="6"/>
      <c r="AG38" s="14">
        <f t="shared" si="23"/>
        <v>44866</v>
      </c>
      <c r="AH38" s="6">
        <f t="shared" si="24"/>
        <v>272</v>
      </c>
      <c r="AI38" s="6">
        <f t="shared" si="25"/>
        <v>101</v>
      </c>
      <c r="AJ38" s="6"/>
      <c r="AK38" s="6"/>
      <c r="AL38" s="14">
        <f t="shared" si="26"/>
        <v>44866</v>
      </c>
      <c r="AM38" s="6">
        <f t="shared" ref="AM38:AQ38" si="60">AJ15/$E15</f>
        <v>0.8947368421</v>
      </c>
      <c r="AN38" s="6">
        <f t="shared" si="60"/>
        <v>0.04334365325</v>
      </c>
      <c r="AO38" s="6">
        <f t="shared" si="60"/>
        <v>0.05572755418</v>
      </c>
      <c r="AP38" s="6">
        <f t="shared" si="60"/>
        <v>0.003095975232</v>
      </c>
      <c r="AQ38" s="6">
        <f t="shared" si="60"/>
        <v>0.003095975232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ht="14.25" customHeight="1">
      <c r="A39" s="6"/>
      <c r="B39" s="14">
        <f t="shared" si="5"/>
        <v>44896</v>
      </c>
      <c r="C39" s="6">
        <f t="shared" si="6"/>
        <v>233</v>
      </c>
      <c r="D39" s="6"/>
      <c r="E39" s="14">
        <f t="shared" si="7"/>
        <v>44896</v>
      </c>
      <c r="F39" s="15">
        <f t="shared" si="8"/>
        <v>0.7424892704</v>
      </c>
      <c r="G39" s="15">
        <f t="shared" si="9"/>
        <v>0.2575107296</v>
      </c>
      <c r="H39" s="6"/>
      <c r="I39" s="14">
        <f t="shared" si="10"/>
        <v>44896</v>
      </c>
      <c r="J39" s="16">
        <f t="shared" ref="J39:N39" si="61">AJ16/$E16</f>
        <v>0.9356223176</v>
      </c>
      <c r="K39" s="16">
        <f t="shared" si="61"/>
        <v>0.03004291845</v>
      </c>
      <c r="L39" s="16">
        <f t="shared" si="61"/>
        <v>0.03004291845</v>
      </c>
      <c r="M39" s="16">
        <f t="shared" si="61"/>
        <v>0</v>
      </c>
      <c r="N39" s="16">
        <f t="shared" si="61"/>
        <v>0.004291845494</v>
      </c>
      <c r="O39" s="6"/>
      <c r="P39" s="14">
        <f t="shared" si="2"/>
        <v>44896</v>
      </c>
      <c r="Q39" s="17">
        <f t="shared" si="12"/>
        <v>1227.725749</v>
      </c>
      <c r="R39" s="17">
        <f t="shared" si="13"/>
        <v>1220.474097</v>
      </c>
      <c r="S39" s="17">
        <f t="shared" si="14"/>
        <v>1199.750994</v>
      </c>
      <c r="T39" s="17" t="str">
        <f t="shared" si="15"/>
        <v/>
      </c>
      <c r="U39" s="17">
        <f t="shared" si="16"/>
        <v>1321.053922</v>
      </c>
      <c r="V39" s="6"/>
      <c r="W39" s="14">
        <f t="shared" si="3"/>
        <v>44896</v>
      </c>
      <c r="X39" s="17">
        <f t="shared" si="17"/>
        <v>1394.381291</v>
      </c>
      <c r="Y39" s="17" t="str">
        <f t="shared" si="18"/>
        <v/>
      </c>
      <c r="Z39" s="17">
        <f t="shared" si="19"/>
        <v>1388.5</v>
      </c>
      <c r="AA39" s="17" t="str">
        <f t="shared" si="20"/>
        <v/>
      </c>
      <c r="AB39" s="17" t="str">
        <f t="shared" si="21"/>
        <v/>
      </c>
      <c r="AC39" s="6"/>
      <c r="AD39" s="18">
        <f t="shared" ref="AD39:AE39" si="62">AO16</f>
        <v>44900.47675</v>
      </c>
      <c r="AE39" s="6">
        <f t="shared" si="62"/>
        <v>1563</v>
      </c>
      <c r="AF39" s="6"/>
      <c r="AG39" s="14">
        <f t="shared" si="23"/>
        <v>44896</v>
      </c>
      <c r="AH39" s="6">
        <f t="shared" si="24"/>
        <v>204</v>
      </c>
      <c r="AI39" s="6">
        <f t="shared" si="25"/>
        <v>81</v>
      </c>
      <c r="AJ39" s="6"/>
      <c r="AK39" s="6"/>
      <c r="AL39" s="14">
        <f t="shared" si="26"/>
        <v>44896</v>
      </c>
      <c r="AM39" s="6">
        <f t="shared" ref="AM39:AQ39" si="63">AJ16/$E16</f>
        <v>0.9356223176</v>
      </c>
      <c r="AN39" s="6">
        <f t="shared" si="63"/>
        <v>0.03004291845</v>
      </c>
      <c r="AO39" s="6">
        <f t="shared" si="63"/>
        <v>0.03004291845</v>
      </c>
      <c r="AP39" s="6">
        <f t="shared" si="63"/>
        <v>0</v>
      </c>
      <c r="AQ39" s="6">
        <f t="shared" si="63"/>
        <v>0.004291845494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ht="14.25" customHeight="1">
      <c r="A40" s="6"/>
      <c r="B40" s="14">
        <f t="shared" si="5"/>
        <v>44927</v>
      </c>
      <c r="C40" s="6">
        <f t="shared" si="6"/>
        <v>48</v>
      </c>
      <c r="D40" s="6"/>
      <c r="E40" s="14">
        <f t="shared" si="7"/>
        <v>44927</v>
      </c>
      <c r="F40" s="15">
        <f t="shared" si="8"/>
        <v>0.875</v>
      </c>
      <c r="G40" s="15">
        <f t="shared" si="9"/>
        <v>0.125</v>
      </c>
      <c r="H40" s="6"/>
      <c r="I40" s="14">
        <f t="shared" si="10"/>
        <v>44927</v>
      </c>
      <c r="J40" s="16">
        <f t="shared" ref="J40:N40" si="64">AJ17/$E17</f>
        <v>1</v>
      </c>
      <c r="K40" s="16">
        <f t="shared" si="64"/>
        <v>0</v>
      </c>
      <c r="L40" s="16">
        <f t="shared" si="64"/>
        <v>0</v>
      </c>
      <c r="M40" s="16">
        <f t="shared" si="64"/>
        <v>0</v>
      </c>
      <c r="N40" s="16">
        <f t="shared" si="64"/>
        <v>0</v>
      </c>
      <c r="O40" s="6"/>
      <c r="P40" s="14">
        <f t="shared" si="2"/>
        <v>44927</v>
      </c>
      <c r="Q40" s="17">
        <f t="shared" si="12"/>
        <v>1274.195779</v>
      </c>
      <c r="R40" s="17" t="str">
        <f t="shared" si="13"/>
        <v/>
      </c>
      <c r="S40" s="17" t="str">
        <f t="shared" si="14"/>
        <v/>
      </c>
      <c r="T40" s="17" t="str">
        <f t="shared" si="15"/>
        <v/>
      </c>
      <c r="U40" s="17" t="str">
        <f t="shared" si="16"/>
        <v/>
      </c>
      <c r="V40" s="6"/>
      <c r="W40" s="14">
        <f t="shared" si="3"/>
        <v>44927</v>
      </c>
      <c r="X40" s="17">
        <f t="shared" si="17"/>
        <v>1373.319444</v>
      </c>
      <c r="Y40" s="17" t="str">
        <f t="shared" si="18"/>
        <v/>
      </c>
      <c r="Z40" s="17" t="str">
        <f t="shared" si="19"/>
        <v/>
      </c>
      <c r="AA40" s="17" t="str">
        <f t="shared" si="20"/>
        <v/>
      </c>
      <c r="AB40" s="17" t="str">
        <f t="shared" si="21"/>
        <v/>
      </c>
      <c r="AC40" s="6"/>
      <c r="AD40" s="18">
        <f t="shared" ref="AD40:AE40" si="65">AO17</f>
        <v>44954.44691</v>
      </c>
      <c r="AE40" s="6">
        <f t="shared" si="65"/>
        <v>1406</v>
      </c>
      <c r="AF40" s="6"/>
      <c r="AG40" s="14">
        <f t="shared" si="23"/>
        <v>44927</v>
      </c>
      <c r="AH40" s="6">
        <f t="shared" si="24"/>
        <v>20</v>
      </c>
      <c r="AI40" s="6">
        <f t="shared" si="25"/>
        <v>8</v>
      </c>
      <c r="AJ40" s="6"/>
      <c r="AK40" s="6"/>
      <c r="AL40" s="14">
        <f t="shared" si="26"/>
        <v>44927</v>
      </c>
      <c r="AM40" s="6">
        <f t="shared" ref="AM40:AQ40" si="66">AJ17/$E17</f>
        <v>1</v>
      </c>
      <c r="AN40" s="6">
        <f t="shared" si="66"/>
        <v>0</v>
      </c>
      <c r="AO40" s="6">
        <f t="shared" si="66"/>
        <v>0</v>
      </c>
      <c r="AP40" s="6">
        <f t="shared" si="66"/>
        <v>0</v>
      </c>
      <c r="AQ40" s="6">
        <f t="shared" si="66"/>
        <v>0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ht="14.25" customHeight="1">
      <c r="A41" s="6"/>
      <c r="B41" s="14">
        <f t="shared" si="5"/>
        <v>44958</v>
      </c>
      <c r="C41" s="6">
        <f t="shared" si="6"/>
        <v>126</v>
      </c>
      <c r="D41" s="6"/>
      <c r="E41" s="14">
        <f t="shared" si="7"/>
        <v>44958</v>
      </c>
      <c r="F41" s="15">
        <f t="shared" si="8"/>
        <v>0.5396825397</v>
      </c>
      <c r="G41" s="15">
        <f t="shared" si="9"/>
        <v>0.4603174603</v>
      </c>
      <c r="H41" s="6"/>
      <c r="I41" s="14">
        <f t="shared" si="10"/>
        <v>44958</v>
      </c>
      <c r="J41" s="16">
        <f t="shared" ref="J41:N41" si="67">AJ18/$E18</f>
        <v>0.9682539683</v>
      </c>
      <c r="K41" s="16">
        <f t="shared" si="67"/>
        <v>0.007936507937</v>
      </c>
      <c r="L41" s="16">
        <f t="shared" si="67"/>
        <v>0.01587301587</v>
      </c>
      <c r="M41" s="16">
        <f t="shared" si="67"/>
        <v>0</v>
      </c>
      <c r="N41" s="16">
        <f t="shared" si="67"/>
        <v>0.007936507937</v>
      </c>
      <c r="O41" s="6"/>
      <c r="P41" s="14">
        <f t="shared" si="2"/>
        <v>44958</v>
      </c>
      <c r="Q41" s="17">
        <f t="shared" si="12"/>
        <v>1261.869524</v>
      </c>
      <c r="R41" s="17" t="str">
        <f t="shared" si="13"/>
        <v/>
      </c>
      <c r="S41" s="17">
        <f t="shared" si="14"/>
        <v>1212.783784</v>
      </c>
      <c r="T41" s="17" t="str">
        <f t="shared" si="15"/>
        <v/>
      </c>
      <c r="U41" s="17">
        <f t="shared" si="16"/>
        <v>1227.344828</v>
      </c>
      <c r="V41" s="6"/>
      <c r="W41" s="14">
        <f t="shared" si="3"/>
        <v>44958</v>
      </c>
      <c r="X41" s="17">
        <f t="shared" si="17"/>
        <v>1396.688651</v>
      </c>
      <c r="Y41" s="17">
        <f t="shared" si="18"/>
        <v>1404.28125</v>
      </c>
      <c r="Z41" s="17">
        <f t="shared" si="19"/>
        <v>1379.894737</v>
      </c>
      <c r="AA41" s="17" t="str">
        <f t="shared" si="20"/>
        <v/>
      </c>
      <c r="AB41" s="17" t="str">
        <f t="shared" si="21"/>
        <v/>
      </c>
      <c r="AC41" s="6"/>
      <c r="AD41" s="18">
        <f t="shared" ref="AD41:AE41" si="68">AO18</f>
        <v>44958.50124</v>
      </c>
      <c r="AE41" s="6">
        <f t="shared" si="68"/>
        <v>1541</v>
      </c>
      <c r="AF41" s="6"/>
      <c r="AG41" s="14">
        <f t="shared" si="23"/>
        <v>44958</v>
      </c>
      <c r="AH41" s="6">
        <f t="shared" si="24"/>
        <v>232</v>
      </c>
      <c r="AI41" s="6">
        <f t="shared" si="25"/>
        <v>76</v>
      </c>
      <c r="AJ41" s="6"/>
      <c r="AK41" s="6"/>
      <c r="AL41" s="14">
        <f t="shared" si="26"/>
        <v>44958</v>
      </c>
      <c r="AM41" s="6">
        <f t="shared" ref="AM41:AQ41" si="69">AJ18/$E18</f>
        <v>0.9682539683</v>
      </c>
      <c r="AN41" s="6">
        <f t="shared" si="69"/>
        <v>0.007936507937</v>
      </c>
      <c r="AO41" s="6">
        <f t="shared" si="69"/>
        <v>0.01587301587</v>
      </c>
      <c r="AP41" s="6">
        <f t="shared" si="69"/>
        <v>0</v>
      </c>
      <c r="AQ41" s="6">
        <f t="shared" si="69"/>
        <v>0.007936507937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ht="14.25" customHeight="1">
      <c r="A42" s="6"/>
      <c r="B42" s="14">
        <f t="shared" si="5"/>
        <v>44986</v>
      </c>
      <c r="C42" s="6">
        <f t="shared" si="6"/>
        <v>255</v>
      </c>
      <c r="D42" s="6"/>
      <c r="E42" s="14">
        <f t="shared" si="7"/>
        <v>44986</v>
      </c>
      <c r="F42" s="15">
        <f t="shared" si="8"/>
        <v>0.7254901961</v>
      </c>
      <c r="G42" s="15">
        <f t="shared" si="9"/>
        <v>0.2745098039</v>
      </c>
      <c r="H42" s="6"/>
      <c r="I42" s="14">
        <f t="shared" si="10"/>
        <v>44986</v>
      </c>
      <c r="J42" s="16">
        <f t="shared" ref="J42:N42" si="70">AJ19/$E19</f>
        <v>0.9490196078</v>
      </c>
      <c r="K42" s="16">
        <f t="shared" si="70"/>
        <v>0.03137254902</v>
      </c>
      <c r="L42" s="16">
        <f t="shared" si="70"/>
        <v>0.01568627451</v>
      </c>
      <c r="M42" s="16">
        <f t="shared" si="70"/>
        <v>0.003921568627</v>
      </c>
      <c r="N42" s="16">
        <f t="shared" si="70"/>
        <v>0</v>
      </c>
      <c r="O42" s="6"/>
      <c r="P42" s="14">
        <f t="shared" si="2"/>
        <v>44986</v>
      </c>
      <c r="Q42" s="17">
        <f t="shared" si="12"/>
        <v>1258.836308</v>
      </c>
      <c r="R42" s="17">
        <f t="shared" si="13"/>
        <v>1183.771079</v>
      </c>
      <c r="S42" s="17">
        <f t="shared" si="14"/>
        <v>1235.056717</v>
      </c>
      <c r="T42" s="17">
        <f t="shared" si="15"/>
        <v>1339.346774</v>
      </c>
      <c r="U42" s="17" t="str">
        <f t="shared" si="16"/>
        <v/>
      </c>
      <c r="V42" s="6"/>
      <c r="W42" s="14">
        <f t="shared" si="3"/>
        <v>44986</v>
      </c>
      <c r="X42" s="17">
        <f t="shared" si="17"/>
        <v>1394.805879</v>
      </c>
      <c r="Y42" s="17">
        <f t="shared" si="18"/>
        <v>1397.860018</v>
      </c>
      <c r="Z42" s="17">
        <f t="shared" si="19"/>
        <v>1422.28169</v>
      </c>
      <c r="AA42" s="17" t="str">
        <f t="shared" si="20"/>
        <v/>
      </c>
      <c r="AB42" s="17" t="str">
        <f t="shared" si="21"/>
        <v/>
      </c>
      <c r="AC42" s="6"/>
      <c r="AD42" s="18">
        <f t="shared" ref="AD42:AE42" si="71">AO19</f>
        <v>45010.50478</v>
      </c>
      <c r="AE42" s="6">
        <f t="shared" si="71"/>
        <v>1519</v>
      </c>
      <c r="AF42" s="6"/>
      <c r="AG42" s="14">
        <f t="shared" si="23"/>
        <v>44986</v>
      </c>
      <c r="AH42" s="6">
        <f t="shared" si="24"/>
        <v>124</v>
      </c>
      <c r="AI42" s="6">
        <f t="shared" si="25"/>
        <v>71</v>
      </c>
      <c r="AJ42" s="6"/>
      <c r="AK42" s="6"/>
      <c r="AL42" s="14">
        <f t="shared" si="26"/>
        <v>44986</v>
      </c>
      <c r="AM42" s="6">
        <f t="shared" ref="AM42:AQ42" si="72">AJ19/$E19</f>
        <v>0.9490196078</v>
      </c>
      <c r="AN42" s="6">
        <f t="shared" si="72"/>
        <v>0.03137254902</v>
      </c>
      <c r="AO42" s="6">
        <f t="shared" si="72"/>
        <v>0.01568627451</v>
      </c>
      <c r="AP42" s="6">
        <f t="shared" si="72"/>
        <v>0.003921568627</v>
      </c>
      <c r="AQ42" s="6">
        <f t="shared" si="72"/>
        <v>0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ht="14.25" customHeight="1">
      <c r="A43" s="6"/>
      <c r="B43" s="14"/>
      <c r="C43" s="6"/>
      <c r="D43" s="6"/>
      <c r="E43" s="14"/>
      <c r="F43" s="15"/>
      <c r="G43" s="15"/>
      <c r="H43" s="6"/>
      <c r="I43" s="14"/>
      <c r="J43" s="16"/>
      <c r="K43" s="16"/>
      <c r="L43" s="16"/>
      <c r="M43" s="16"/>
      <c r="N43" s="16"/>
      <c r="O43" s="6"/>
      <c r="P43" s="14"/>
      <c r="Q43" s="17"/>
      <c r="R43" s="17"/>
      <c r="S43" s="17"/>
      <c r="T43" s="17"/>
      <c r="U43" s="17"/>
      <c r="V43" s="6"/>
      <c r="W43" s="14"/>
      <c r="X43" s="17"/>
      <c r="Y43" s="17"/>
      <c r="Z43" s="17"/>
      <c r="AA43" s="17"/>
      <c r="AB43" s="17"/>
      <c r="AC43" s="6"/>
      <c r="AD43" s="18"/>
      <c r="AE43" s="6"/>
      <c r="AF43" s="6"/>
      <c r="AG43" s="14"/>
      <c r="AH43" s="6"/>
      <c r="AI43" s="6"/>
      <c r="AJ43" s="6"/>
      <c r="AK43" s="6"/>
      <c r="AL43" s="14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ht="14.25" customHeight="1">
      <c r="A44" s="6"/>
      <c r="B44" s="1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9" t="s">
        <v>47</v>
      </c>
      <c r="G2" s="19" t="s">
        <v>56</v>
      </c>
      <c r="L2" s="19" t="s">
        <v>59</v>
      </c>
    </row>
    <row r="3" ht="14.25" customHeight="1">
      <c r="B3" s="12" t="s">
        <v>0</v>
      </c>
      <c r="C3" s="12" t="s">
        <v>60</v>
      </c>
      <c r="D3" s="12" t="s">
        <v>61</v>
      </c>
      <c r="E3" s="12" t="s">
        <v>62</v>
      </c>
      <c r="G3" s="13" t="s">
        <v>55</v>
      </c>
      <c r="H3" s="13" t="s">
        <v>60</v>
      </c>
      <c r="I3" s="13" t="s">
        <v>61</v>
      </c>
      <c r="J3" s="13" t="s">
        <v>62</v>
      </c>
      <c r="L3" s="13" t="s">
        <v>55</v>
      </c>
      <c r="M3" s="13" t="s">
        <v>60</v>
      </c>
      <c r="N3" s="13" t="s">
        <v>61</v>
      </c>
      <c r="O3" s="13" t="s">
        <v>62</v>
      </c>
    </row>
    <row r="4" ht="14.25" customHeight="1">
      <c r="B4" s="14">
        <f>'ESA01 - GHI1'!B3</f>
        <v>44501</v>
      </c>
      <c r="C4" s="8">
        <f>'ESA01 - GHI1'!C26</f>
        <v>48</v>
      </c>
      <c r="D4" s="8">
        <f>'ESA01 - GHI2'!C26</f>
        <v>32</v>
      </c>
      <c r="E4" s="8" t="str">
        <f>'ESA01 - GHI3'!C26</f>
        <v/>
      </c>
      <c r="G4" s="18">
        <f>'ESA01 - GHI1'!AD26</f>
        <v>44501</v>
      </c>
      <c r="H4" s="8">
        <f>'ESA01 - GHI1'!AE26</f>
        <v>1378</v>
      </c>
      <c r="I4" s="8">
        <f>'ESA01 - GHI2'!AE26</f>
        <v>1368</v>
      </c>
      <c r="J4" s="8" t="str">
        <f>'ESA01 - GHI3'!AE26</f>
        <v/>
      </c>
      <c r="L4" s="14">
        <f t="shared" ref="L4:L20" si="1">G4</f>
        <v>44501</v>
      </c>
      <c r="M4" s="8">
        <f>LARGE('ESA01 - GHI1'!AH26:AI26,1)</f>
        <v>60</v>
      </c>
      <c r="N4" s="8">
        <f>LARGE('ESA01 - GHI2'!AH26:AI26,1)</f>
        <v>45</v>
      </c>
      <c r="O4" s="8" t="str">
        <f>LARGE('ESA01 - GHI3'!AH26:AI26,1)</f>
        <v>#NUM!</v>
      </c>
    </row>
    <row r="5" ht="14.25" customHeight="1">
      <c r="B5" s="14">
        <f>'ESA01 - GHI1'!B4</f>
        <v>44531</v>
      </c>
      <c r="C5" s="8">
        <f>'ESA01 - GHI1'!C27</f>
        <v>263</v>
      </c>
      <c r="D5" s="6">
        <f>'ESA01 - GHI2'!C27</f>
        <v>260</v>
      </c>
      <c r="E5" s="6" t="str">
        <f>'ESA01 - GHI3'!C27</f>
        <v/>
      </c>
      <c r="G5" s="18">
        <f>'ESA01 - GHI1'!AD27</f>
        <v>44544.45416</v>
      </c>
      <c r="H5" s="8">
        <f>'ESA01 - GHI1'!AE27</f>
        <v>1620</v>
      </c>
      <c r="I5" s="6">
        <f>'ESA01 - GHI2'!AE27</f>
        <v>1613</v>
      </c>
      <c r="J5" s="6" t="str">
        <f>'ESA01 - GHI3'!AE27</f>
        <v/>
      </c>
      <c r="L5" s="14">
        <f t="shared" si="1"/>
        <v>44544.45416</v>
      </c>
      <c r="M5" s="8">
        <f>LARGE('ESA01 - GHI1'!AH27:AI27,1)</f>
        <v>194</v>
      </c>
      <c r="N5" s="6">
        <f>LARGE('ESA01 - GHI2'!AH27:AI27,1)</f>
        <v>245</v>
      </c>
      <c r="O5" s="6" t="str">
        <f>LARGE('ESA01 - GHI3'!AH27:AI27,1)</f>
        <v>#NUM!</v>
      </c>
    </row>
    <row r="6" ht="14.25" customHeight="1">
      <c r="B6" s="14">
        <f>'ESA01 - GHI1'!B5</f>
        <v>44562</v>
      </c>
      <c r="C6" s="8">
        <f>'ESA01 - GHI1'!C28</f>
        <v>287</v>
      </c>
      <c r="D6" s="6">
        <f>'ESA01 - GHI2'!C28</f>
        <v>231</v>
      </c>
      <c r="E6" s="6" t="str">
        <f>'ESA01 - GHI3'!C28</f>
        <v/>
      </c>
      <c r="G6" s="18">
        <f>'ESA01 - GHI1'!AD28</f>
        <v>44576.48797</v>
      </c>
      <c r="H6" s="8">
        <f>'ESA01 - GHI1'!AE28</f>
        <v>1607</v>
      </c>
      <c r="I6" s="6">
        <f>'ESA01 - GHI2'!AE28</f>
        <v>1573</v>
      </c>
      <c r="J6" s="6" t="str">
        <f>'ESA01 - GHI3'!AE28</f>
        <v/>
      </c>
      <c r="L6" s="14">
        <f t="shared" si="1"/>
        <v>44576.48797</v>
      </c>
      <c r="M6" s="8">
        <f>LARGE('ESA01 - GHI1'!AH28:AI28,1)</f>
        <v>162</v>
      </c>
      <c r="N6" s="6">
        <f>LARGE('ESA01 - GHI2'!AH28:AI28,1)</f>
        <v>106</v>
      </c>
      <c r="O6" s="6" t="str">
        <f>LARGE('ESA01 - GHI3'!AH28:AI28,1)</f>
        <v>#NUM!</v>
      </c>
    </row>
    <row r="7" ht="14.25" customHeight="1">
      <c r="B7" s="14">
        <f>'ESA01 - GHI1'!B6</f>
        <v>44593</v>
      </c>
      <c r="C7" s="8">
        <f>'ESA01 - GHI1'!C29</f>
        <v>166</v>
      </c>
      <c r="D7" s="6">
        <f>'ESA01 - GHI2'!C29</f>
        <v>119</v>
      </c>
      <c r="E7" s="6" t="str">
        <f>'ESA01 - GHI3'!C29</f>
        <v/>
      </c>
      <c r="G7" s="18">
        <f>'ESA01 - GHI1'!AD29</f>
        <v>44598.49759</v>
      </c>
      <c r="H7" s="8">
        <f>'ESA01 - GHI1'!AE29</f>
        <v>1593</v>
      </c>
      <c r="I7" s="6">
        <f>'ESA01 - GHI2'!AE29</f>
        <v>1574</v>
      </c>
      <c r="J7" s="6" t="str">
        <f>'ESA01 - GHI3'!AE29</f>
        <v/>
      </c>
      <c r="L7" s="14">
        <f t="shared" si="1"/>
        <v>44598.49759</v>
      </c>
      <c r="M7" s="8">
        <f>LARGE('ESA01 - GHI1'!AH29:AI29,1)</f>
        <v>176</v>
      </c>
      <c r="N7" s="6">
        <f>LARGE('ESA01 - GHI2'!AH29:AI29,1)</f>
        <v>189</v>
      </c>
      <c r="O7" s="6" t="str">
        <f>LARGE('ESA01 - GHI3'!AH29:AI29,1)</f>
        <v>#NUM!</v>
      </c>
    </row>
    <row r="8" ht="14.25" customHeight="1">
      <c r="B8" s="14">
        <f>'ESA01 - GHI1'!B7</f>
        <v>44621</v>
      </c>
      <c r="C8" s="8">
        <f>'ESA01 - GHI1'!C30</f>
        <v>466</v>
      </c>
      <c r="D8" s="6">
        <f>'ESA01 - GHI2'!C30</f>
        <v>399</v>
      </c>
      <c r="E8" s="6">
        <f>'ESA01 - GHI3'!C30</f>
        <v>295</v>
      </c>
      <c r="G8" s="18">
        <f>'ESA01 - GHI1'!AD30</f>
        <v>44645.455</v>
      </c>
      <c r="H8" s="8">
        <f>'ESA01 - GHI1'!AE30</f>
        <v>1569</v>
      </c>
      <c r="I8" s="6">
        <f>'ESA01 - GHI2'!AE30</f>
        <v>1557</v>
      </c>
      <c r="J8" s="6">
        <f>'ESA01 - GHI3'!AE30</f>
        <v>1528</v>
      </c>
      <c r="L8" s="14">
        <f t="shared" si="1"/>
        <v>44645.455</v>
      </c>
      <c r="M8" s="8">
        <f>LARGE('ESA01 - GHI1'!AH30:AI30,1)</f>
        <v>259</v>
      </c>
      <c r="N8" s="6">
        <f>LARGE('ESA01 - GHI2'!AH30:AI30,1)</f>
        <v>180</v>
      </c>
      <c r="O8" s="6">
        <f>LARGE('ESA01 - GHI3'!AH30:AI30,1)</f>
        <v>91</v>
      </c>
    </row>
    <row r="9" ht="14.25" customHeight="1">
      <c r="B9" s="14">
        <f>'ESA01 - GHI1'!B8</f>
        <v>44652</v>
      </c>
      <c r="C9" s="8">
        <f>'ESA01 - GHI1'!C31</f>
        <v>611</v>
      </c>
      <c r="D9" s="6">
        <f>'ESA01 - GHI2'!C31</f>
        <v>541</v>
      </c>
      <c r="E9" s="6">
        <f>'ESA01 - GHI3'!C31</f>
        <v>466</v>
      </c>
      <c r="G9" s="18">
        <f>'ESA01 - GHI1'!AD31</f>
        <v>44663.48424</v>
      </c>
      <c r="H9" s="8">
        <f>'ESA01 - GHI1'!AE31</f>
        <v>1512</v>
      </c>
      <c r="I9" s="6">
        <f>'ESA01 - GHI2'!AE31</f>
        <v>1503</v>
      </c>
      <c r="J9" s="6">
        <f>'ESA01 - GHI3'!AE31</f>
        <v>1490</v>
      </c>
      <c r="L9" s="14">
        <f t="shared" si="1"/>
        <v>44663.48424</v>
      </c>
      <c r="M9" s="8">
        <f>LARGE('ESA01 - GHI1'!AH31:AI31,1)</f>
        <v>326</v>
      </c>
      <c r="N9" s="6">
        <f>LARGE('ESA01 - GHI2'!AH31:AI31,1)</f>
        <v>256</v>
      </c>
      <c r="O9" s="6">
        <f>LARGE('ESA01 - GHI3'!AH31:AI31,1)</f>
        <v>131</v>
      </c>
    </row>
    <row r="10" ht="14.25" customHeight="1">
      <c r="B10" s="14">
        <f>'ESA01 - GHI1'!B9</f>
        <v>44682</v>
      </c>
      <c r="C10" s="8">
        <f>'ESA01 - GHI1'!C32</f>
        <v>466</v>
      </c>
      <c r="D10" s="6">
        <f>'ESA01 - GHI2'!C32</f>
        <v>439</v>
      </c>
      <c r="E10" s="6">
        <f>'ESA01 - GHI3'!C32</f>
        <v>405</v>
      </c>
      <c r="G10" s="18">
        <f>'ESA01 - GHI1'!AD32</f>
        <v>44708.49451</v>
      </c>
      <c r="H10" s="8">
        <f>'ESA01 - GHI1'!AE32</f>
        <v>1378</v>
      </c>
      <c r="I10" s="6">
        <f>'ESA01 - GHI2'!AE32</f>
        <v>1371</v>
      </c>
      <c r="J10" s="6">
        <f>'ESA01 - GHI3'!AE32</f>
        <v>1376</v>
      </c>
      <c r="L10" s="14">
        <f t="shared" si="1"/>
        <v>44708.49451</v>
      </c>
      <c r="M10" s="8">
        <f>LARGE('ESA01 - GHI1'!AH32:AI32,1)</f>
        <v>234</v>
      </c>
      <c r="N10" s="6">
        <f>LARGE('ESA01 - GHI2'!AH32:AI32,1)</f>
        <v>183</v>
      </c>
      <c r="O10" s="6">
        <f>LARGE('ESA01 - GHI3'!AH32:AI32,1)</f>
        <v>171</v>
      </c>
    </row>
    <row r="11" ht="14.25" customHeight="1">
      <c r="B11" s="14">
        <f>'ESA01 - GHI1'!B10</f>
        <v>44713</v>
      </c>
      <c r="C11" s="8">
        <f>'ESA01 - GHI1'!C33</f>
        <v>517</v>
      </c>
      <c r="D11" s="6">
        <f>'ESA01 - GHI2'!C33</f>
        <v>468</v>
      </c>
      <c r="E11" s="6">
        <f>'ESA01 - GHI3'!C33</f>
        <v>421</v>
      </c>
      <c r="G11" s="18">
        <f>'ESA01 - GHI1'!AD33</f>
        <v>44718.49936</v>
      </c>
      <c r="H11" s="8">
        <f>'ESA01 - GHI1'!AE33</f>
        <v>1390</v>
      </c>
      <c r="I11" s="6">
        <f>'ESA01 - GHI2'!AE33</f>
        <v>1380</v>
      </c>
      <c r="J11" s="6">
        <f>'ESA01 - GHI3'!AE33</f>
        <v>1358</v>
      </c>
      <c r="L11" s="14">
        <f t="shared" si="1"/>
        <v>44718.49936</v>
      </c>
      <c r="M11" s="8">
        <f>LARGE('ESA01 - GHI1'!AH33:AI33,1)</f>
        <v>147</v>
      </c>
      <c r="N11" s="6">
        <f>LARGE('ESA01 - GHI2'!AH33:AI33,1)</f>
        <v>137</v>
      </c>
      <c r="O11" s="6">
        <f>LARGE('ESA01 - GHI3'!AH33:AI33,1)</f>
        <v>133</v>
      </c>
    </row>
    <row r="12" ht="14.25" customHeight="1">
      <c r="B12" s="14">
        <f>'ESA01 - GHI1'!B11</f>
        <v>44743</v>
      </c>
      <c r="C12" s="8">
        <f>'ESA01 - GHI1'!C34</f>
        <v>468</v>
      </c>
      <c r="D12" s="6">
        <f>'ESA01 - GHI2'!C34</f>
        <v>435</v>
      </c>
      <c r="E12" s="6">
        <f>'ESA01 - GHI3'!C34</f>
        <v>454</v>
      </c>
      <c r="G12" s="18">
        <f>'ESA01 - GHI1'!AD34</f>
        <v>44757.50985</v>
      </c>
      <c r="H12" s="8">
        <f>'ESA01 - GHI1'!AE34</f>
        <v>1500</v>
      </c>
      <c r="I12" s="6">
        <f>'ESA01 - GHI2'!AE34</f>
        <v>1489</v>
      </c>
      <c r="J12" s="6">
        <f>'ESA01 - GHI3'!AE34</f>
        <v>1446</v>
      </c>
      <c r="L12" s="14">
        <f t="shared" si="1"/>
        <v>44757.50985</v>
      </c>
      <c r="M12" s="8">
        <f>LARGE('ESA01 - GHI1'!AH34:AI34,1)</f>
        <v>160</v>
      </c>
      <c r="N12" s="6">
        <f>LARGE('ESA01 - GHI2'!AH34:AI34,1)</f>
        <v>160</v>
      </c>
      <c r="O12" s="6">
        <f>LARGE('ESA01 - GHI3'!AH34:AI34,1)</f>
        <v>89</v>
      </c>
    </row>
    <row r="13" ht="14.25" customHeight="1">
      <c r="B13" s="14">
        <f>'ESA01 - GHI1'!B12</f>
        <v>44774</v>
      </c>
      <c r="C13" s="8">
        <f>'ESA01 - GHI1'!C35</f>
        <v>768</v>
      </c>
      <c r="D13" s="6">
        <f>'ESA01 - GHI2'!C35</f>
        <v>699</v>
      </c>
      <c r="E13" s="6">
        <f>'ESA01 - GHI3'!C35</f>
        <v>679</v>
      </c>
      <c r="G13" s="18">
        <f>'ESA01 - GHI1'!AD35</f>
        <v>44804.47874</v>
      </c>
      <c r="H13" s="8">
        <f>'ESA01 - GHI1'!AE35</f>
        <v>1483</v>
      </c>
      <c r="I13" s="6">
        <f>'ESA01 - GHI2'!AE35</f>
        <v>1469</v>
      </c>
      <c r="J13" s="6">
        <f>'ESA01 - GHI3'!AE35</f>
        <v>1476</v>
      </c>
      <c r="L13" s="14">
        <f t="shared" si="1"/>
        <v>44804.47874</v>
      </c>
      <c r="M13" s="8">
        <f>LARGE('ESA01 - GHI1'!AH35:AI35,1)</f>
        <v>153</v>
      </c>
      <c r="N13" s="6">
        <f>LARGE('ESA01 - GHI2'!AH35:AI35,1)</f>
        <v>151</v>
      </c>
      <c r="O13" s="6">
        <f>LARGE('ESA01 - GHI3'!AH35:AI35,1)</f>
        <v>150</v>
      </c>
    </row>
    <row r="14" ht="14.25" customHeight="1">
      <c r="B14" s="14">
        <f>'ESA01 - GHI1'!B13</f>
        <v>44805</v>
      </c>
      <c r="C14" s="8">
        <f>'ESA01 - GHI1'!C36</f>
        <v>493</v>
      </c>
      <c r="D14" s="6">
        <f>'ESA01 - GHI2'!C36</f>
        <v>449</v>
      </c>
      <c r="E14" s="6">
        <f>'ESA01 - GHI3'!C36</f>
        <v>408</v>
      </c>
      <c r="G14" s="18">
        <f>'ESA01 - GHI1'!AD36</f>
        <v>44826.44066</v>
      </c>
      <c r="H14" s="8">
        <f>'ESA01 - GHI1'!AE36</f>
        <v>1533</v>
      </c>
      <c r="I14" s="6">
        <f>'ESA01 - GHI2'!AE36</f>
        <v>1513</v>
      </c>
      <c r="J14" s="6">
        <f>'ESA01 - GHI3'!AE36</f>
        <v>1492</v>
      </c>
      <c r="L14" s="14">
        <f t="shared" si="1"/>
        <v>44826.44066</v>
      </c>
      <c r="M14" s="8">
        <f>LARGE('ESA01 - GHI1'!AH36:AI36,1)</f>
        <v>156</v>
      </c>
      <c r="N14" s="6">
        <f>LARGE('ESA01 - GHI2'!AH36:AI36,1)</f>
        <v>156</v>
      </c>
      <c r="O14" s="6">
        <f>LARGE('ESA01 - GHI3'!AH36:AI36,1)</f>
        <v>119</v>
      </c>
    </row>
    <row r="15" ht="14.25" customHeight="1">
      <c r="B15" s="14">
        <f>'ESA01 - GHI1'!B14</f>
        <v>44835</v>
      </c>
      <c r="C15" s="8">
        <f>'ESA01 - GHI1'!C37</f>
        <v>182</v>
      </c>
      <c r="D15" s="6">
        <f>'ESA01 - GHI2'!C37</f>
        <v>140</v>
      </c>
      <c r="E15" s="6">
        <f>'ESA01 - GHI3'!C37</f>
        <v>117</v>
      </c>
      <c r="G15" s="18">
        <f>'ESA01 - GHI1'!AD37</f>
        <v>44858.45904</v>
      </c>
      <c r="H15" s="8">
        <f>'ESA01 - GHI1'!AE37</f>
        <v>1515</v>
      </c>
      <c r="I15" s="6">
        <f>'ESA01 - GHI2'!AE37</f>
        <v>1506</v>
      </c>
      <c r="J15" s="6">
        <f>'ESA01 - GHI3'!AE37</f>
        <v>1481</v>
      </c>
      <c r="L15" s="14">
        <f t="shared" si="1"/>
        <v>44858.45904</v>
      </c>
      <c r="M15" s="8">
        <f>LARGE('ESA01 - GHI1'!AH37:AI37,1)</f>
        <v>85</v>
      </c>
      <c r="N15" s="6">
        <f>LARGE('ESA01 - GHI2'!AH37:AI37,1)</f>
        <v>75</v>
      </c>
      <c r="O15" s="6">
        <f>LARGE('ESA01 - GHI3'!AH37:AI37,1)</f>
        <v>38</v>
      </c>
    </row>
    <row r="16" ht="14.25" customHeight="1">
      <c r="B16" s="14">
        <f>'ESA01 - GHI1'!B15</f>
        <v>44866</v>
      </c>
      <c r="C16" s="6">
        <f>'ESA01 - GHI1'!C38</f>
        <v>337</v>
      </c>
      <c r="D16" s="6">
        <f>'ESA01 - GHI2'!C38</f>
        <v>329</v>
      </c>
      <c r="E16" s="6">
        <f>'ESA01 - GHI3'!C38</f>
        <v>323</v>
      </c>
      <c r="G16" s="18">
        <f>'ESA01 - GHI1'!AD38</f>
        <v>44870.50329</v>
      </c>
      <c r="H16" s="6">
        <f>'ESA01 - GHI1'!AE38</f>
        <v>1654</v>
      </c>
      <c r="I16" s="6">
        <f>'ESA01 - GHI2'!AE38</f>
        <v>1651</v>
      </c>
      <c r="J16" s="6">
        <f>'ESA01 - GHI3'!AE38</f>
        <v>1602</v>
      </c>
      <c r="L16" s="14">
        <f t="shared" si="1"/>
        <v>44870.50329</v>
      </c>
      <c r="M16" s="6">
        <f>LARGE('ESA01 - GHI1'!AH38:AI38,1)</f>
        <v>498</v>
      </c>
      <c r="N16" s="6">
        <f>LARGE('ESA01 - GHI2'!AH38:AI38,1)</f>
        <v>468</v>
      </c>
      <c r="O16" s="6">
        <f>LARGE('ESA01 - GHI3'!AH38:AI38,1)</f>
        <v>272</v>
      </c>
    </row>
    <row r="17" ht="14.25" customHeight="1">
      <c r="B17" s="14">
        <f>'ESA01 - GHI1'!B16</f>
        <v>44896</v>
      </c>
      <c r="C17" s="6">
        <f>'ESA01 - GHI1'!C39</f>
        <v>288</v>
      </c>
      <c r="D17" s="6">
        <f>'ESA01 - GHI2'!C39</f>
        <v>275</v>
      </c>
      <c r="E17" s="6">
        <f>'ESA01 - GHI3'!C39</f>
        <v>233</v>
      </c>
      <c r="G17" s="18">
        <f>'ESA01 - GHI1'!AD39</f>
        <v>44900.48584</v>
      </c>
      <c r="H17" s="6">
        <f>'ESA01 - GHI1'!AE39</f>
        <v>1575</v>
      </c>
      <c r="I17" s="6">
        <f>'ESA01 - GHI2'!AE39</f>
        <v>1571</v>
      </c>
      <c r="J17" s="6">
        <f>'ESA01 - GHI3'!AE39</f>
        <v>1563</v>
      </c>
      <c r="L17" s="14">
        <f t="shared" si="1"/>
        <v>44900.48584</v>
      </c>
      <c r="M17" s="6">
        <f>LARGE('ESA01 - GHI1'!AH39:AI39,1)</f>
        <v>169</v>
      </c>
      <c r="N17" s="6">
        <f>LARGE('ESA01 - GHI2'!AH39:AI39,1)</f>
        <v>264</v>
      </c>
      <c r="O17" s="6">
        <f>LARGE('ESA01 - GHI3'!AH39:AI39,1)</f>
        <v>204</v>
      </c>
    </row>
    <row r="18" ht="14.25" customHeight="1">
      <c r="B18" s="14">
        <f>'ESA01 - GHI1'!B17</f>
        <v>44927</v>
      </c>
      <c r="C18" s="6">
        <f>'ESA01 - GHI1'!C40</f>
        <v>86</v>
      </c>
      <c r="D18" s="6">
        <f>'ESA01 - GHI2'!C40</f>
        <v>86</v>
      </c>
      <c r="E18" s="6">
        <f>'ESA01 - GHI3'!C40</f>
        <v>48</v>
      </c>
      <c r="G18" s="18">
        <f>'ESA01 - GHI1'!AD40</f>
        <v>44954.44868</v>
      </c>
      <c r="H18" s="6">
        <f>'ESA01 - GHI1'!AE40</f>
        <v>1408</v>
      </c>
      <c r="I18" s="6">
        <f>'ESA01 - GHI2'!AE40</f>
        <v>1403</v>
      </c>
      <c r="J18" s="6">
        <f>'ESA01 - GHI3'!AE40</f>
        <v>1406</v>
      </c>
      <c r="L18" s="14">
        <f t="shared" si="1"/>
        <v>44954.44868</v>
      </c>
      <c r="M18" s="6">
        <f>LARGE('ESA01 - GHI1'!AH40:AI40,1)</f>
        <v>107</v>
      </c>
      <c r="N18" s="6">
        <f>LARGE('ESA01 - GHI2'!AH40:AI40,1)</f>
        <v>105</v>
      </c>
      <c r="O18" s="6">
        <f>LARGE('ESA01 - GHI3'!AH40:AI40,1)</f>
        <v>20</v>
      </c>
    </row>
    <row r="19" ht="14.25" customHeight="1">
      <c r="B19" s="14">
        <f>'ESA01 - GHI1'!B18</f>
        <v>44958</v>
      </c>
      <c r="C19" s="6">
        <f>'ESA01 - GHI1'!C41</f>
        <v>211</v>
      </c>
      <c r="D19" s="6">
        <f>'ESA01 - GHI2'!C41</f>
        <v>193</v>
      </c>
      <c r="E19" s="6">
        <f>'ESA01 - GHI3'!C41</f>
        <v>126</v>
      </c>
      <c r="G19" s="18">
        <f>'ESA01 - GHI1'!AD41</f>
        <v>44979.51935</v>
      </c>
      <c r="H19" s="6">
        <f>'ESA01 - GHI1'!AE41</f>
        <v>1558</v>
      </c>
      <c r="I19" s="6">
        <f>'ESA01 - GHI2'!AE41</f>
        <v>1550</v>
      </c>
      <c r="J19" s="6">
        <f>'ESA01 - GHI3'!AE41</f>
        <v>1541</v>
      </c>
      <c r="L19" s="14">
        <f t="shared" si="1"/>
        <v>44979.51935</v>
      </c>
      <c r="M19" s="6">
        <f>LARGE('ESA01 - GHI1'!AH41:AI41,1)</f>
        <v>141</v>
      </c>
      <c r="N19" s="6">
        <f>LARGE('ESA01 - GHI2'!AH41:AI41,1)</f>
        <v>1979</v>
      </c>
      <c r="O19" s="6">
        <f>LARGE('ESA01 - GHI3'!AH41:AI41,1)</f>
        <v>232</v>
      </c>
    </row>
    <row r="20" ht="14.25" customHeight="1">
      <c r="B20" s="14">
        <f>'ESA01 - GHI1'!B19</f>
        <v>44986</v>
      </c>
      <c r="C20" s="6">
        <f>'ESA01 - GHI1'!C42</f>
        <v>339</v>
      </c>
      <c r="D20" s="6">
        <f>'ESA01 - GHI2'!C42</f>
        <v>309</v>
      </c>
      <c r="E20" s="6">
        <f>'ESA01 - GHI3'!C42</f>
        <v>255</v>
      </c>
      <c r="G20" s="18">
        <f>'ESA01 - GHI1'!AD42</f>
        <v>45010.50479</v>
      </c>
      <c r="H20" s="6">
        <f>'ESA01 - GHI1'!AE42</f>
        <v>1566</v>
      </c>
      <c r="I20" s="6">
        <f>'ESA01 - GHI2'!AE42</f>
        <v>1551</v>
      </c>
      <c r="J20" s="6">
        <f>'ESA01 - GHI3'!AE42</f>
        <v>1519</v>
      </c>
      <c r="L20" s="14">
        <f t="shared" si="1"/>
        <v>45010.50479</v>
      </c>
      <c r="M20" s="6">
        <f>LARGE('ESA01 - GHI1'!AH42:AI42,1)</f>
        <v>195</v>
      </c>
      <c r="N20" s="6">
        <f>LARGE('ESA01 - GHI2'!AH42:AI42,1)</f>
        <v>188</v>
      </c>
      <c r="O20" s="6">
        <f>LARGE('ESA01 - GHI3'!AH42:AI42,1)</f>
        <v>124</v>
      </c>
    </row>
    <row r="21" ht="14.25" customHeight="1">
      <c r="B21" s="14"/>
      <c r="H21" s="6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E2"/>
    <mergeCell ref="G2:J2"/>
    <mergeCell ref="L2:O2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71"/>
    <col customWidth="1" min="3" max="5" width="10.71"/>
    <col customWidth="1" min="6" max="42" width="12.71"/>
    <col customWidth="1" min="43" max="43" width="15.71"/>
    <col customWidth="1" min="44" max="50" width="12.71"/>
    <col customWidth="1" min="51" max="61" width="8.86"/>
  </cols>
  <sheetData>
    <row r="1" ht="14.25" customHeight="1">
      <c r="A1" s="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114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N2" s="4" t="s">
        <v>12</v>
      </c>
      <c r="O2" s="3" t="s">
        <v>13</v>
      </c>
      <c r="P2" s="3" t="s">
        <v>14</v>
      </c>
      <c r="Q2" s="3" t="s">
        <v>15</v>
      </c>
      <c r="R2" s="4" t="s">
        <v>16</v>
      </c>
      <c r="S2" s="4" t="s">
        <v>17</v>
      </c>
      <c r="T2" s="4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  <c r="AA2" s="3" t="s">
        <v>25</v>
      </c>
      <c r="AB2" s="3" t="s">
        <v>26</v>
      </c>
      <c r="AC2" s="3" t="s">
        <v>27</v>
      </c>
      <c r="AD2" s="4" t="s">
        <v>28</v>
      </c>
      <c r="AE2" s="4" t="s">
        <v>29</v>
      </c>
      <c r="AF2" s="4" t="s">
        <v>30</v>
      </c>
      <c r="AG2" s="3" t="s">
        <v>31</v>
      </c>
      <c r="AH2" s="3" t="s">
        <v>32</v>
      </c>
      <c r="AI2" s="3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3" t="s">
        <v>39</v>
      </c>
      <c r="AP2" s="3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3" t="s">
        <v>45</v>
      </c>
      <c r="AV2" s="3" t="s">
        <v>46</v>
      </c>
      <c r="AW2" s="3" t="s">
        <v>43</v>
      </c>
      <c r="AX2" s="3" t="s">
        <v>44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4.25" customHeight="1">
      <c r="A3" s="6"/>
      <c r="B3" s="5">
        <v>44652.0</v>
      </c>
      <c r="C3" s="6">
        <v>517.0</v>
      </c>
      <c r="D3" s="6">
        <v>94.0</v>
      </c>
      <c r="E3" s="6">
        <v>611.0</v>
      </c>
      <c r="F3" s="6">
        <v>476.0</v>
      </c>
      <c r="G3" s="7">
        <v>1220.1933787639648</v>
      </c>
      <c r="H3" s="7">
        <v>1366.0</v>
      </c>
      <c r="I3" s="6">
        <v>33.0</v>
      </c>
      <c r="J3" s="7">
        <v>1253.5788473904054</v>
      </c>
      <c r="K3" s="7">
        <v>1366.0</v>
      </c>
      <c r="L3" s="6">
        <v>7.0</v>
      </c>
      <c r="M3" s="7">
        <v>1263.4933354461932</v>
      </c>
      <c r="N3" s="7">
        <v>1355.0</v>
      </c>
      <c r="O3" s="6"/>
      <c r="P3" s="7"/>
      <c r="Q3" s="7"/>
      <c r="R3" s="6">
        <v>1.0</v>
      </c>
      <c r="S3" s="7">
        <v>1153.0521472392638</v>
      </c>
      <c r="T3" s="7">
        <v>1177.0</v>
      </c>
      <c r="U3" s="6">
        <v>83.0</v>
      </c>
      <c r="V3" s="7">
        <v>1399.375723813232</v>
      </c>
      <c r="W3" s="6">
        <v>1509.0</v>
      </c>
      <c r="X3" s="6">
        <v>9.0</v>
      </c>
      <c r="Y3" s="7">
        <v>1430.6601625329388</v>
      </c>
      <c r="Z3" s="6">
        <v>1512.0</v>
      </c>
      <c r="AA3" s="6"/>
      <c r="AB3" s="6"/>
      <c r="AC3" s="6"/>
      <c r="AD3" s="6">
        <v>1.0</v>
      </c>
      <c r="AE3" s="6">
        <v>1464.2910447761194</v>
      </c>
      <c r="AF3" s="6">
        <v>1493.0</v>
      </c>
      <c r="AG3" s="6">
        <v>1.0</v>
      </c>
      <c r="AH3" s="6">
        <v>1443.360153256705</v>
      </c>
      <c r="AI3" s="6">
        <v>1504.0</v>
      </c>
      <c r="AJ3" s="6">
        <v>559.0</v>
      </c>
      <c r="AK3" s="6">
        <v>42.0</v>
      </c>
      <c r="AL3" s="6">
        <v>7.0</v>
      </c>
      <c r="AM3" s="6">
        <v>1.0</v>
      </c>
      <c r="AN3" s="6">
        <v>2.0</v>
      </c>
      <c r="AO3" s="9">
        <v>44663.48423611111</v>
      </c>
      <c r="AP3" s="6">
        <v>1512.0</v>
      </c>
      <c r="AQ3" s="9">
        <v>44667.4041087963</v>
      </c>
      <c r="AR3" s="6">
        <v>326.0</v>
      </c>
      <c r="AS3" s="7">
        <v>1153.0521472392638</v>
      </c>
      <c r="AT3" s="6">
        <v>1177.0</v>
      </c>
      <c r="AU3" s="9">
        <v>44652.51636574074</v>
      </c>
      <c r="AV3" s="6">
        <v>261.0</v>
      </c>
      <c r="AW3" s="10">
        <v>1443.360153256705</v>
      </c>
      <c r="AX3" s="6">
        <v>1504.0</v>
      </c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ht="14.25" customHeight="1">
      <c r="A4" s="6"/>
      <c r="B4" s="5">
        <v>44682.0</v>
      </c>
      <c r="C4" s="6">
        <v>464.0</v>
      </c>
      <c r="D4" s="6">
        <v>2.0</v>
      </c>
      <c r="E4" s="6">
        <v>466.0</v>
      </c>
      <c r="F4" s="6">
        <v>417.0</v>
      </c>
      <c r="G4" s="7">
        <v>1176.6307216809694</v>
      </c>
      <c r="H4" s="7">
        <v>1364.0</v>
      </c>
      <c r="I4" s="6">
        <v>34.0</v>
      </c>
      <c r="J4" s="7">
        <v>1190.2186198908037</v>
      </c>
      <c r="K4" s="7">
        <v>1356.0</v>
      </c>
      <c r="L4" s="6">
        <v>9.0</v>
      </c>
      <c r="M4" s="7">
        <v>1196.4461434222333</v>
      </c>
      <c r="N4" s="7">
        <v>1306.0</v>
      </c>
      <c r="O4" s="6">
        <v>2.0</v>
      </c>
      <c r="P4" s="7">
        <v>1212.1245082612118</v>
      </c>
      <c r="Q4" s="7">
        <v>1261.0</v>
      </c>
      <c r="R4" s="6">
        <v>2.0</v>
      </c>
      <c r="S4" s="7">
        <v>1228.6491646778043</v>
      </c>
      <c r="T4" s="7">
        <v>1265.0</v>
      </c>
      <c r="U4" s="6">
        <v>2.0</v>
      </c>
      <c r="V4" s="7">
        <v>1373.6363636363637</v>
      </c>
      <c r="W4" s="6">
        <v>1378.0</v>
      </c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>
        <v>419.0</v>
      </c>
      <c r="AK4" s="6">
        <v>34.0</v>
      </c>
      <c r="AL4" s="6">
        <v>9.0</v>
      </c>
      <c r="AM4" s="6">
        <v>2.0</v>
      </c>
      <c r="AN4" s="6">
        <v>2.0</v>
      </c>
      <c r="AO4" s="9">
        <v>44708.49451388889</v>
      </c>
      <c r="AP4" s="6">
        <v>1378.0</v>
      </c>
      <c r="AQ4" s="9">
        <v>44687.42605324074</v>
      </c>
      <c r="AR4" s="6">
        <v>234.0</v>
      </c>
      <c r="AS4" s="7">
        <v>1228.3504273504273</v>
      </c>
      <c r="AT4" s="6">
        <v>1251.0</v>
      </c>
      <c r="AU4" s="9">
        <v>44708.494525462964</v>
      </c>
      <c r="AV4" s="6">
        <v>10.0</v>
      </c>
      <c r="AW4" s="10">
        <v>1373.3</v>
      </c>
      <c r="AX4" s="6">
        <v>1378.0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ht="14.25" customHeight="1">
      <c r="A5" s="6"/>
      <c r="B5" s="5">
        <v>44713.0</v>
      </c>
      <c r="C5" s="6">
        <v>516.0</v>
      </c>
      <c r="D5" s="6">
        <v>1.0</v>
      </c>
      <c r="E5" s="6">
        <v>517.0</v>
      </c>
      <c r="F5" s="6">
        <v>465.0</v>
      </c>
      <c r="G5" s="7">
        <v>1134.5925639649001</v>
      </c>
      <c r="H5" s="7">
        <v>1353.0</v>
      </c>
      <c r="I5" s="6">
        <v>35.0</v>
      </c>
      <c r="J5" s="7">
        <v>1138.7556377469994</v>
      </c>
      <c r="K5" s="7">
        <v>1338.0</v>
      </c>
      <c r="L5" s="6">
        <v>13.0</v>
      </c>
      <c r="M5" s="7">
        <v>1185.216545716285</v>
      </c>
      <c r="N5" s="7">
        <v>1333.0</v>
      </c>
      <c r="O5" s="6">
        <v>3.0</v>
      </c>
      <c r="P5" s="7">
        <v>1178.2077292110876</v>
      </c>
      <c r="Q5" s="7">
        <v>1280.0</v>
      </c>
      <c r="R5" s="6"/>
      <c r="S5" s="7"/>
      <c r="T5" s="7"/>
      <c r="U5" s="6">
        <v>1.0</v>
      </c>
      <c r="V5" s="7">
        <v>1385.6666666666667</v>
      </c>
      <c r="W5" s="6">
        <v>1390.0</v>
      </c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466.0</v>
      </c>
      <c r="AK5" s="6">
        <v>35.0</v>
      </c>
      <c r="AL5" s="6">
        <v>13.0</v>
      </c>
      <c r="AM5" s="6">
        <v>3.0</v>
      </c>
      <c r="AN5" s="6"/>
      <c r="AO5" s="9">
        <v>44718.49936342592</v>
      </c>
      <c r="AP5" s="6">
        <v>1390.0</v>
      </c>
      <c r="AQ5" s="9">
        <v>44723.46662037037</v>
      </c>
      <c r="AR5" s="6">
        <v>147.0</v>
      </c>
      <c r="AS5" s="7">
        <v>1230.3877551020407</v>
      </c>
      <c r="AT5" s="6">
        <v>1280.0</v>
      </c>
      <c r="AU5" s="9">
        <v>44718.499375</v>
      </c>
      <c r="AV5" s="6">
        <v>3.0</v>
      </c>
      <c r="AW5" s="10">
        <v>1385.6666666666667</v>
      </c>
      <c r="AX5" s="6">
        <v>1390.0</v>
      </c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ht="14.25" customHeight="1">
      <c r="A6" s="6"/>
      <c r="B6" s="5">
        <v>44743.0</v>
      </c>
      <c r="C6" s="6">
        <v>463.0</v>
      </c>
      <c r="D6" s="6">
        <v>5.0</v>
      </c>
      <c r="E6" s="6">
        <v>468.0</v>
      </c>
      <c r="F6" s="6">
        <v>410.0</v>
      </c>
      <c r="G6" s="7">
        <v>1143.7238999918618</v>
      </c>
      <c r="H6" s="7">
        <v>1366.0</v>
      </c>
      <c r="I6" s="6">
        <v>37.0</v>
      </c>
      <c r="J6" s="7">
        <v>1154.6695870053982</v>
      </c>
      <c r="K6" s="7">
        <v>1346.0</v>
      </c>
      <c r="L6" s="6">
        <v>12.0</v>
      </c>
      <c r="M6" s="7">
        <v>1177.2748087283</v>
      </c>
      <c r="N6" s="7">
        <v>1289.0</v>
      </c>
      <c r="O6" s="6">
        <v>4.0</v>
      </c>
      <c r="P6" s="7">
        <v>1127.7221684907834</v>
      </c>
      <c r="Q6" s="7">
        <v>1239.0</v>
      </c>
      <c r="R6" s="6"/>
      <c r="S6" s="7"/>
      <c r="T6" s="7"/>
      <c r="U6" s="6">
        <v>5.0</v>
      </c>
      <c r="V6" s="7">
        <v>1409.124060150376</v>
      </c>
      <c r="W6" s="6">
        <v>1500.0</v>
      </c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415.0</v>
      </c>
      <c r="AK6" s="6">
        <v>37.0</v>
      </c>
      <c r="AL6" s="6">
        <v>12.0</v>
      </c>
      <c r="AM6" s="6">
        <v>4.0</v>
      </c>
      <c r="AN6" s="6"/>
      <c r="AO6" s="9">
        <v>44757.50984953704</v>
      </c>
      <c r="AP6" s="6">
        <v>1500.0</v>
      </c>
      <c r="AQ6" s="9">
        <v>44769.4596875</v>
      </c>
      <c r="AR6" s="6">
        <v>160.0</v>
      </c>
      <c r="AS6" s="7">
        <v>1212.10625</v>
      </c>
      <c r="AT6" s="6">
        <v>1228.0</v>
      </c>
      <c r="AU6" s="9">
        <v>44757.50989583333</v>
      </c>
      <c r="AV6" s="6">
        <v>14.0</v>
      </c>
      <c r="AW6" s="10">
        <v>1462.2142857142858</v>
      </c>
      <c r="AX6" s="6">
        <v>1500.0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ht="14.25" customHeight="1">
      <c r="A7" s="6"/>
      <c r="B7" s="5">
        <v>44774.0</v>
      </c>
      <c r="C7" s="6">
        <v>688.0</v>
      </c>
      <c r="D7" s="6">
        <v>80.0</v>
      </c>
      <c r="E7" s="6">
        <v>768.0</v>
      </c>
      <c r="F7" s="6">
        <v>627.0</v>
      </c>
      <c r="G7" s="7">
        <v>1206.752467793914</v>
      </c>
      <c r="H7" s="7">
        <v>1366.0</v>
      </c>
      <c r="I7" s="6">
        <v>43.0</v>
      </c>
      <c r="J7" s="7">
        <v>1222.6455648497783</v>
      </c>
      <c r="K7" s="7">
        <v>1366.0</v>
      </c>
      <c r="L7" s="6">
        <v>13.0</v>
      </c>
      <c r="M7" s="7">
        <v>1230.669858269812</v>
      </c>
      <c r="N7" s="7">
        <v>1366.0</v>
      </c>
      <c r="O7" s="6">
        <v>5.0</v>
      </c>
      <c r="P7" s="7">
        <v>1245.437722798348</v>
      </c>
      <c r="Q7" s="7">
        <v>1357.0</v>
      </c>
      <c r="R7" s="6"/>
      <c r="S7" s="7"/>
      <c r="T7" s="7"/>
      <c r="U7" s="6">
        <v>73.0</v>
      </c>
      <c r="V7" s="7">
        <v>1400.5842816828738</v>
      </c>
      <c r="W7" s="6">
        <v>1483.0</v>
      </c>
      <c r="X7" s="6">
        <v>7.0</v>
      </c>
      <c r="Y7" s="7">
        <v>1400.364038171773</v>
      </c>
      <c r="Z7" s="6">
        <v>1462.0</v>
      </c>
      <c r="AA7" s="6"/>
      <c r="AB7" s="6"/>
      <c r="AC7" s="6"/>
      <c r="AD7" s="6"/>
      <c r="AE7" s="6"/>
      <c r="AF7" s="6"/>
      <c r="AG7" s="6"/>
      <c r="AH7" s="6"/>
      <c r="AI7" s="6"/>
      <c r="AJ7" s="6">
        <v>700.0</v>
      </c>
      <c r="AK7" s="6">
        <v>50.0</v>
      </c>
      <c r="AL7" s="6">
        <v>13.0</v>
      </c>
      <c r="AM7" s="6">
        <v>5.0</v>
      </c>
      <c r="AN7" s="6"/>
      <c r="AO7" s="9">
        <v>44804.478738425925</v>
      </c>
      <c r="AP7" s="6">
        <v>1483.0</v>
      </c>
      <c r="AQ7" s="9">
        <v>44774.460648148146</v>
      </c>
      <c r="AR7" s="6">
        <v>153.0</v>
      </c>
      <c r="AS7" s="7">
        <v>1217.5555555555557</v>
      </c>
      <c r="AT7" s="6">
        <v>1258.0</v>
      </c>
      <c r="AU7" s="9">
        <v>44804.487280092595</v>
      </c>
      <c r="AV7" s="6">
        <v>52.0</v>
      </c>
      <c r="AW7" s="10">
        <v>1385.6923076923076</v>
      </c>
      <c r="AX7" s="6">
        <v>1393.0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ht="14.25" customHeight="1">
      <c r="A8" s="6"/>
      <c r="B8" s="5">
        <v>44805.0</v>
      </c>
      <c r="C8" s="6">
        <v>419.0</v>
      </c>
      <c r="D8" s="6">
        <v>74.0</v>
      </c>
      <c r="E8" s="6">
        <v>493.0</v>
      </c>
      <c r="F8" s="6">
        <v>367.0</v>
      </c>
      <c r="G8" s="7">
        <v>1205.9322782352012</v>
      </c>
      <c r="H8" s="7">
        <v>1366.0</v>
      </c>
      <c r="I8" s="6">
        <v>34.0</v>
      </c>
      <c r="J8" s="7">
        <v>1214.6988273860165</v>
      </c>
      <c r="K8" s="7">
        <v>1366.0</v>
      </c>
      <c r="L8" s="6">
        <v>15.0</v>
      </c>
      <c r="M8" s="7">
        <v>1208.3182955344155</v>
      </c>
      <c r="N8" s="7">
        <v>1366.0</v>
      </c>
      <c r="O8" s="6">
        <v>3.0</v>
      </c>
      <c r="P8" s="7">
        <v>1255.4615764093223</v>
      </c>
      <c r="Q8" s="7">
        <v>1365.0</v>
      </c>
      <c r="R8" s="6"/>
      <c r="S8" s="7"/>
      <c r="T8" s="7"/>
      <c r="U8" s="6">
        <v>68.0</v>
      </c>
      <c r="V8" s="7">
        <v>1392.9921485084935</v>
      </c>
      <c r="W8" s="6">
        <v>1533.0</v>
      </c>
      <c r="X8" s="6">
        <v>5.0</v>
      </c>
      <c r="Y8" s="7">
        <v>1441.0032634032632</v>
      </c>
      <c r="Z8" s="6">
        <v>1487.0</v>
      </c>
      <c r="AA8" s="6">
        <v>1.0</v>
      </c>
      <c r="AB8" s="6">
        <v>1495.2285714285715</v>
      </c>
      <c r="AC8" s="6">
        <v>1521.0</v>
      </c>
      <c r="AD8" s="6"/>
      <c r="AE8" s="6"/>
      <c r="AF8" s="6"/>
      <c r="AG8" s="6"/>
      <c r="AH8" s="6"/>
      <c r="AI8" s="6"/>
      <c r="AJ8" s="6">
        <v>435.0</v>
      </c>
      <c r="AK8" s="6">
        <v>39.0</v>
      </c>
      <c r="AL8" s="6">
        <v>16.0</v>
      </c>
      <c r="AM8" s="6">
        <v>3.0</v>
      </c>
      <c r="AN8" s="6"/>
      <c r="AO8" s="9">
        <v>44826.44065972222</v>
      </c>
      <c r="AP8" s="6">
        <v>1533.0</v>
      </c>
      <c r="AQ8" s="9">
        <v>44808.52260416667</v>
      </c>
      <c r="AR8" s="6">
        <v>156.0</v>
      </c>
      <c r="AS8" s="7">
        <v>1343.3846153846155</v>
      </c>
      <c r="AT8" s="6">
        <v>1365.0</v>
      </c>
      <c r="AU8" s="9">
        <v>44817.484930555554</v>
      </c>
      <c r="AV8" s="6">
        <v>70.0</v>
      </c>
      <c r="AW8" s="10">
        <v>1495.2285714285715</v>
      </c>
      <c r="AX8" s="6">
        <v>1521.0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ht="14.25" customHeight="1">
      <c r="A9" s="6"/>
      <c r="B9" s="5">
        <v>44835.0</v>
      </c>
      <c r="C9" s="6">
        <v>124.0</v>
      </c>
      <c r="D9" s="6">
        <v>58.0</v>
      </c>
      <c r="E9" s="6">
        <v>182.0</v>
      </c>
      <c r="F9" s="6">
        <v>117.0</v>
      </c>
      <c r="G9" s="7">
        <v>1282.531643248622</v>
      </c>
      <c r="H9" s="7">
        <v>1366.0</v>
      </c>
      <c r="I9" s="6">
        <v>6.0</v>
      </c>
      <c r="J9" s="7">
        <v>1278.029509725553</v>
      </c>
      <c r="K9" s="7">
        <v>1365.0</v>
      </c>
      <c r="L9" s="6">
        <v>1.0</v>
      </c>
      <c r="M9" s="7">
        <v>1048.8</v>
      </c>
      <c r="N9" s="7">
        <v>1054.0</v>
      </c>
      <c r="O9" s="6"/>
      <c r="P9" s="7"/>
      <c r="Q9" s="7"/>
      <c r="R9" s="6"/>
      <c r="S9" s="7"/>
      <c r="T9" s="7"/>
      <c r="U9" s="6">
        <v>46.0</v>
      </c>
      <c r="V9" s="7">
        <v>1390.330247057916</v>
      </c>
      <c r="W9" s="6">
        <v>1489.0</v>
      </c>
      <c r="X9" s="6">
        <v>11.0</v>
      </c>
      <c r="Y9" s="7">
        <v>1409.1809523809525</v>
      </c>
      <c r="Z9" s="6">
        <v>1515.0</v>
      </c>
      <c r="AA9" s="6">
        <v>1.0</v>
      </c>
      <c r="AB9" s="6">
        <v>1410.5</v>
      </c>
      <c r="AC9" s="6">
        <v>1430.0</v>
      </c>
      <c r="AD9" s="6"/>
      <c r="AE9" s="6"/>
      <c r="AF9" s="6"/>
      <c r="AG9" s="6"/>
      <c r="AH9" s="6"/>
      <c r="AI9" s="6"/>
      <c r="AJ9" s="6">
        <v>163.0</v>
      </c>
      <c r="AK9" s="6">
        <v>17.0</v>
      </c>
      <c r="AL9" s="6">
        <v>2.0</v>
      </c>
      <c r="AM9" s="6"/>
      <c r="AN9" s="6"/>
      <c r="AO9" s="9">
        <v>44858.45903935185</v>
      </c>
      <c r="AP9" s="6">
        <v>1515.0</v>
      </c>
      <c r="AQ9" s="9">
        <v>44853.36724537037</v>
      </c>
      <c r="AR9" s="6">
        <v>85.0</v>
      </c>
      <c r="AS9" s="7">
        <v>1048.8</v>
      </c>
      <c r="AT9" s="6">
        <v>1054.0</v>
      </c>
      <c r="AU9" s="9">
        <v>44858.46760416667</v>
      </c>
      <c r="AV9" s="6">
        <v>76.0</v>
      </c>
      <c r="AW9" s="10">
        <v>1410.5</v>
      </c>
      <c r="AX9" s="6">
        <v>1430.0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4.25" customHeight="1">
      <c r="A10" s="6"/>
      <c r="B10" s="5">
        <v>44866.0</v>
      </c>
      <c r="C10" s="6">
        <v>227.0</v>
      </c>
      <c r="D10" s="6">
        <v>110.0</v>
      </c>
      <c r="E10" s="6">
        <v>337.0</v>
      </c>
      <c r="F10" s="6">
        <v>182.0</v>
      </c>
      <c r="G10" s="7">
        <v>1234.5673285480832</v>
      </c>
      <c r="H10" s="7">
        <v>1366.0</v>
      </c>
      <c r="I10" s="6">
        <v>24.0</v>
      </c>
      <c r="J10" s="7">
        <v>1183.3971696795343</v>
      </c>
      <c r="K10" s="7">
        <v>1366.0</v>
      </c>
      <c r="L10" s="6">
        <v>16.0</v>
      </c>
      <c r="M10" s="7">
        <v>1152.2014932974787</v>
      </c>
      <c r="N10" s="7">
        <v>1322.0</v>
      </c>
      <c r="O10" s="6">
        <v>4.0</v>
      </c>
      <c r="P10" s="7">
        <v>1260.4415904061411</v>
      </c>
      <c r="Q10" s="7">
        <v>1366.0</v>
      </c>
      <c r="R10" s="6">
        <v>1.0</v>
      </c>
      <c r="S10" s="7">
        <v>1270.672131147541</v>
      </c>
      <c r="T10" s="7">
        <v>1290.0</v>
      </c>
      <c r="U10" s="6">
        <v>95.0</v>
      </c>
      <c r="V10" s="7">
        <v>1419.875419677542</v>
      </c>
      <c r="W10" s="6">
        <v>1654.0</v>
      </c>
      <c r="X10" s="6">
        <v>7.0</v>
      </c>
      <c r="Y10" s="7">
        <v>1428.2687697588894</v>
      </c>
      <c r="Z10" s="6">
        <v>1582.0</v>
      </c>
      <c r="AA10" s="6">
        <v>8.0</v>
      </c>
      <c r="AB10" s="6">
        <v>1421.0592842741346</v>
      </c>
      <c r="AC10" s="6">
        <v>1527.0</v>
      </c>
      <c r="AD10" s="6"/>
      <c r="AE10" s="6"/>
      <c r="AF10" s="6"/>
      <c r="AG10" s="6"/>
      <c r="AH10" s="6"/>
      <c r="AI10" s="6"/>
      <c r="AJ10" s="6">
        <v>277.0</v>
      </c>
      <c r="AK10" s="6">
        <v>31.0</v>
      </c>
      <c r="AL10" s="6">
        <v>24.0</v>
      </c>
      <c r="AM10" s="6">
        <v>4.0</v>
      </c>
      <c r="AN10" s="6">
        <v>1.0</v>
      </c>
      <c r="AO10" s="9">
        <v>44870.503287037034</v>
      </c>
      <c r="AP10" s="6">
        <v>1654.0</v>
      </c>
      <c r="AQ10" s="9">
        <v>44874.40059027778</v>
      </c>
      <c r="AR10" s="6">
        <v>498.0</v>
      </c>
      <c r="AS10" s="7">
        <v>1198.5240963855422</v>
      </c>
      <c r="AT10" s="6">
        <v>1236.0</v>
      </c>
      <c r="AU10" s="9">
        <v>44871.51403935185</v>
      </c>
      <c r="AV10" s="6">
        <v>108.0</v>
      </c>
      <c r="AW10" s="10">
        <v>1505.1203703703704</v>
      </c>
      <c r="AX10" s="6">
        <v>1527.0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ht="14.25" customHeight="1">
      <c r="A11" s="6"/>
      <c r="B11" s="5">
        <v>44896.0</v>
      </c>
      <c r="C11" s="6">
        <v>226.0</v>
      </c>
      <c r="D11" s="6">
        <v>62.0</v>
      </c>
      <c r="E11" s="6">
        <v>288.0</v>
      </c>
      <c r="F11" s="6">
        <v>208.0</v>
      </c>
      <c r="G11" s="7">
        <v>1230.2857213977566</v>
      </c>
      <c r="H11" s="7">
        <v>1366.0</v>
      </c>
      <c r="I11" s="6">
        <v>7.0</v>
      </c>
      <c r="J11" s="7">
        <v>1214.1474116743473</v>
      </c>
      <c r="K11" s="7">
        <v>1366.0</v>
      </c>
      <c r="L11" s="6">
        <v>8.0</v>
      </c>
      <c r="M11" s="7">
        <v>1271.4769507561523</v>
      </c>
      <c r="N11" s="7">
        <v>1366.0</v>
      </c>
      <c r="O11" s="6">
        <v>3.0</v>
      </c>
      <c r="P11" s="7">
        <v>1140.6984421529846</v>
      </c>
      <c r="Q11" s="7">
        <v>1260.0</v>
      </c>
      <c r="R11" s="6"/>
      <c r="S11" s="7"/>
      <c r="T11" s="7"/>
      <c r="U11" s="6">
        <v>51.0</v>
      </c>
      <c r="V11" s="7">
        <v>1400.2122103630722</v>
      </c>
      <c r="W11" s="6">
        <v>1575.0</v>
      </c>
      <c r="X11" s="6">
        <v>4.0</v>
      </c>
      <c r="Y11" s="7">
        <v>1408.5155976092867</v>
      </c>
      <c r="Z11" s="6">
        <v>1466.0</v>
      </c>
      <c r="AA11" s="6">
        <v>3.0</v>
      </c>
      <c r="AB11" s="6">
        <v>1396.4758747226488</v>
      </c>
      <c r="AC11" s="6">
        <v>1454.0</v>
      </c>
      <c r="AD11" s="6">
        <v>4.0</v>
      </c>
      <c r="AE11" s="6">
        <v>1394.4478417266187</v>
      </c>
      <c r="AF11" s="6">
        <v>1432.0</v>
      </c>
      <c r="AG11" s="6"/>
      <c r="AH11" s="6"/>
      <c r="AI11" s="6"/>
      <c r="AJ11" s="6">
        <v>259.0</v>
      </c>
      <c r="AK11" s="6">
        <v>11.0</v>
      </c>
      <c r="AL11" s="6">
        <v>11.0</v>
      </c>
      <c r="AM11" s="6">
        <v>7.0</v>
      </c>
      <c r="AN11" s="6"/>
      <c r="AO11" s="9">
        <v>44900.48584490741</v>
      </c>
      <c r="AP11" s="6">
        <v>1575.0</v>
      </c>
      <c r="AQ11" s="9">
        <v>44920.3621875</v>
      </c>
      <c r="AR11" s="6">
        <v>155.0</v>
      </c>
      <c r="AS11" s="7">
        <v>1052.7096774193549</v>
      </c>
      <c r="AT11" s="6">
        <v>1079.0</v>
      </c>
      <c r="AU11" s="9">
        <v>44916.468564814815</v>
      </c>
      <c r="AV11" s="6">
        <v>169.0</v>
      </c>
      <c r="AW11" s="10">
        <v>1403.4674556213017</v>
      </c>
      <c r="AX11" s="6">
        <v>1432.0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ht="14.25" customHeight="1">
      <c r="A12" s="6"/>
      <c r="B12" s="5">
        <v>44927.0</v>
      </c>
      <c r="C12" s="6">
        <v>69.0</v>
      </c>
      <c r="D12" s="6">
        <v>17.0</v>
      </c>
      <c r="E12" s="6">
        <v>86.0</v>
      </c>
      <c r="F12" s="6">
        <v>64.0</v>
      </c>
      <c r="G12" s="7">
        <v>1235.583291485698</v>
      </c>
      <c r="H12" s="7">
        <v>1366.0</v>
      </c>
      <c r="I12" s="6">
        <v>4.0</v>
      </c>
      <c r="J12" s="7">
        <v>1255.9263189831781</v>
      </c>
      <c r="K12" s="7">
        <v>1366.0</v>
      </c>
      <c r="L12" s="6">
        <v>1.0</v>
      </c>
      <c r="M12" s="7">
        <v>1309.822429906542</v>
      </c>
      <c r="N12" s="7">
        <v>1326.0</v>
      </c>
      <c r="O12" s="6"/>
      <c r="P12" s="7"/>
      <c r="Q12" s="7"/>
      <c r="R12" s="6"/>
      <c r="S12" s="7"/>
      <c r="T12" s="7"/>
      <c r="U12" s="6">
        <v>16.0</v>
      </c>
      <c r="V12" s="7">
        <v>1380.4025401069518</v>
      </c>
      <c r="W12" s="6">
        <v>1408.0</v>
      </c>
      <c r="X12" s="6"/>
      <c r="Y12" s="7"/>
      <c r="Z12" s="6"/>
      <c r="AA12" s="6">
        <v>1.0</v>
      </c>
      <c r="AB12" s="6">
        <v>1385.774193548387</v>
      </c>
      <c r="AC12" s="6">
        <v>1394.0</v>
      </c>
      <c r="AD12" s="6"/>
      <c r="AE12" s="6"/>
      <c r="AF12" s="6"/>
      <c r="AG12" s="6"/>
      <c r="AH12" s="6"/>
      <c r="AI12" s="6"/>
      <c r="AJ12" s="6">
        <v>80.0</v>
      </c>
      <c r="AK12" s="6">
        <v>4.0</v>
      </c>
      <c r="AL12" s="6">
        <v>2.0</v>
      </c>
      <c r="AM12" s="6"/>
      <c r="AN12" s="6"/>
      <c r="AO12" s="9">
        <v>44954.44868055556</v>
      </c>
      <c r="AP12" s="6">
        <v>1408.0</v>
      </c>
      <c r="AQ12" s="9">
        <v>44949.424525462964</v>
      </c>
      <c r="AR12" s="6">
        <v>107.0</v>
      </c>
      <c r="AS12" s="7">
        <v>1309.822429906542</v>
      </c>
      <c r="AT12" s="6">
        <v>1326.0</v>
      </c>
      <c r="AU12" s="9">
        <v>44943.469976851855</v>
      </c>
      <c r="AV12" s="6">
        <v>62.0</v>
      </c>
      <c r="AW12" s="10">
        <v>1385.774193548387</v>
      </c>
      <c r="AX12" s="6">
        <v>1394.0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ht="14.25" customHeight="1">
      <c r="A13" s="6"/>
      <c r="B13" s="5">
        <v>44958.0</v>
      </c>
      <c r="C13" s="6">
        <v>110.0</v>
      </c>
      <c r="D13" s="6">
        <v>101.0</v>
      </c>
      <c r="E13" s="6">
        <v>211.0</v>
      </c>
      <c r="F13" s="6">
        <v>100.0</v>
      </c>
      <c r="G13" s="6">
        <v>1267.6095994049458</v>
      </c>
      <c r="H13" s="6">
        <v>1366.0</v>
      </c>
      <c r="I13" s="6">
        <v>5.0</v>
      </c>
      <c r="J13" s="6">
        <v>1224.7293690059812</v>
      </c>
      <c r="K13" s="6">
        <v>1341.0</v>
      </c>
      <c r="L13" s="6">
        <v>3.0</v>
      </c>
      <c r="M13" s="6">
        <v>1288.2770150035508</v>
      </c>
      <c r="N13" s="6">
        <v>1349.0</v>
      </c>
      <c r="O13" s="6"/>
      <c r="P13" s="6"/>
      <c r="Q13" s="6"/>
      <c r="R13" s="6">
        <v>2.0</v>
      </c>
      <c r="S13" s="6">
        <v>1193.4703574542284</v>
      </c>
      <c r="T13" s="6">
        <v>1272.0</v>
      </c>
      <c r="U13" s="6">
        <v>92.0</v>
      </c>
      <c r="V13" s="6">
        <v>1407.831259421829</v>
      </c>
      <c r="W13" s="6">
        <v>1558.0</v>
      </c>
      <c r="X13" s="6">
        <v>7.0</v>
      </c>
      <c r="Y13" s="6">
        <v>1417.8310911410776</v>
      </c>
      <c r="Z13" s="6">
        <v>1487.0</v>
      </c>
      <c r="AA13" s="6">
        <v>1.0</v>
      </c>
      <c r="AB13" s="6">
        <v>1412.9473684210527</v>
      </c>
      <c r="AC13" s="6">
        <v>1426.0</v>
      </c>
      <c r="AD13" s="6">
        <v>1.0</v>
      </c>
      <c r="AE13" s="6">
        <v>1440.3971631205675</v>
      </c>
      <c r="AF13" s="6">
        <v>1502.0</v>
      </c>
      <c r="AG13" s="6"/>
      <c r="AH13" s="6"/>
      <c r="AI13" s="6"/>
      <c r="AJ13" s="6">
        <v>192.0</v>
      </c>
      <c r="AK13" s="6">
        <v>12.0</v>
      </c>
      <c r="AL13" s="6">
        <v>4.0</v>
      </c>
      <c r="AM13" s="6">
        <v>1.0</v>
      </c>
      <c r="AN13" s="6">
        <v>2.0</v>
      </c>
      <c r="AO13" s="9">
        <v>44979.51935185185</v>
      </c>
      <c r="AP13" s="6">
        <v>1558.0</v>
      </c>
      <c r="AQ13" s="9">
        <v>44965.58274305556</v>
      </c>
      <c r="AR13" s="6">
        <v>120.0</v>
      </c>
      <c r="AS13" s="6">
        <v>1203.831</v>
      </c>
      <c r="AT13" s="6">
        <v>1272.0</v>
      </c>
      <c r="AU13" s="9">
        <v>44979.498773148145</v>
      </c>
      <c r="AV13" s="6">
        <v>141.0</v>
      </c>
      <c r="AW13" s="6">
        <v>1440.3971631205675</v>
      </c>
      <c r="AX13" s="6">
        <v>1502.0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ht="14.25" customHeight="1">
      <c r="A14" s="6"/>
      <c r="B14" s="5">
        <v>44986.0</v>
      </c>
      <c r="C14" s="6">
        <v>257.0</v>
      </c>
      <c r="D14" s="6">
        <v>82.0</v>
      </c>
      <c r="E14" s="6">
        <v>339.0</v>
      </c>
      <c r="F14" s="6">
        <v>236.0</v>
      </c>
      <c r="G14" s="6">
        <v>1268.951788872286</v>
      </c>
      <c r="H14" s="6">
        <v>1366.0</v>
      </c>
      <c r="I14" s="6">
        <v>12.0</v>
      </c>
      <c r="J14" s="6">
        <v>1209.5604019624632</v>
      </c>
      <c r="K14" s="6">
        <v>1366.0</v>
      </c>
      <c r="L14" s="6">
        <v>8.0</v>
      </c>
      <c r="M14" s="6">
        <v>1255.0613912759925</v>
      </c>
      <c r="N14" s="6">
        <v>1366.0</v>
      </c>
      <c r="O14" s="6"/>
      <c r="P14" s="6"/>
      <c r="Q14" s="6"/>
      <c r="R14" s="6">
        <v>1.0</v>
      </c>
      <c r="S14" s="6">
        <v>1175.2358974358974</v>
      </c>
      <c r="T14" s="6">
        <v>1262.0</v>
      </c>
      <c r="U14" s="6">
        <v>64.0</v>
      </c>
      <c r="V14" s="6">
        <v>1409.5123707621342</v>
      </c>
      <c r="W14" s="6">
        <v>1552.0</v>
      </c>
      <c r="X14" s="6">
        <v>12.0</v>
      </c>
      <c r="Y14" s="6">
        <v>1409.070510703839</v>
      </c>
      <c r="Z14" s="6">
        <v>1566.0</v>
      </c>
      <c r="AA14" s="6">
        <v>5.0</v>
      </c>
      <c r="AB14" s="6">
        <v>1439.4419928788698</v>
      </c>
      <c r="AC14" s="6">
        <v>1526.0</v>
      </c>
      <c r="AD14" s="6">
        <v>1.0</v>
      </c>
      <c r="AE14" s="6">
        <v>1388.4028776978416</v>
      </c>
      <c r="AF14" s="6">
        <v>1403.0</v>
      </c>
      <c r="AG14" s="6"/>
      <c r="AH14" s="6"/>
      <c r="AI14" s="6"/>
      <c r="AJ14" s="6">
        <v>300.0</v>
      </c>
      <c r="AK14" s="6">
        <v>24.0</v>
      </c>
      <c r="AL14" s="6">
        <v>13.0</v>
      </c>
      <c r="AM14" s="6">
        <v>1.0</v>
      </c>
      <c r="AN14" s="6">
        <v>1.0</v>
      </c>
      <c r="AO14" s="9">
        <v>45010.504791666666</v>
      </c>
      <c r="AP14" s="6">
        <v>1566.0</v>
      </c>
      <c r="AQ14" s="9">
        <v>45004.379594907405</v>
      </c>
      <c r="AR14" s="11">
        <v>195.0</v>
      </c>
      <c r="AS14" s="6">
        <v>1175.2358974358974</v>
      </c>
      <c r="AT14" s="6">
        <v>1262.0</v>
      </c>
      <c r="AU14" s="9">
        <v>45004.44627314815</v>
      </c>
      <c r="AV14" s="6">
        <v>139.0</v>
      </c>
      <c r="AW14" s="6">
        <v>1388.4028776978416</v>
      </c>
      <c r="AX14" s="6">
        <v>1403.0</v>
      </c>
      <c r="AY14" s="6"/>
      <c r="AZ14" s="6"/>
      <c r="BA14" s="6"/>
      <c r="BB14" s="6"/>
      <c r="BC14" s="9"/>
      <c r="BD14" s="6"/>
      <c r="BE14" s="9"/>
      <c r="BF14" s="6"/>
      <c r="BG14" s="6"/>
      <c r="BH14" s="6"/>
      <c r="BI14" s="9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ht="14.25" customHeight="1">
      <c r="A18" s="6"/>
      <c r="B18" s="12" t="s">
        <v>0</v>
      </c>
      <c r="C18" s="12" t="s">
        <v>47</v>
      </c>
      <c r="D18" s="6"/>
      <c r="E18" s="12" t="s">
        <v>0</v>
      </c>
      <c r="F18" s="12" t="s">
        <v>48</v>
      </c>
      <c r="G18" s="12" t="s">
        <v>49</v>
      </c>
      <c r="H18" s="6"/>
      <c r="I18" s="12" t="s">
        <v>0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6"/>
      <c r="P18" s="12" t="str">
        <f t="shared" ref="P18:P30" si="2">I18</f>
        <v>Mês/ano</v>
      </c>
      <c r="Q18" s="12" t="s">
        <v>50</v>
      </c>
      <c r="R18" s="12" t="s">
        <v>51</v>
      </c>
      <c r="S18" s="12" t="s">
        <v>52</v>
      </c>
      <c r="T18" s="12" t="s">
        <v>53</v>
      </c>
      <c r="U18" s="12" t="s">
        <v>54</v>
      </c>
      <c r="V18" s="6"/>
      <c r="W18" s="12" t="str">
        <f t="shared" ref="W18:W30" si="3">P18</f>
        <v>Mês/ano</v>
      </c>
      <c r="X18" s="12" t="s">
        <v>50</v>
      </c>
      <c r="Y18" s="12" t="s">
        <v>51</v>
      </c>
      <c r="Z18" s="12" t="s">
        <v>52</v>
      </c>
      <c r="AA18" s="12" t="s">
        <v>53</v>
      </c>
      <c r="AB18" s="12" t="s">
        <v>54</v>
      </c>
      <c r="AC18" s="6"/>
      <c r="AD18" s="13" t="s">
        <v>55</v>
      </c>
      <c r="AE18" s="13" t="s">
        <v>56</v>
      </c>
      <c r="AF18" s="6" t="str">
        <f>""</f>
        <v/>
      </c>
      <c r="AG18" s="13" t="s">
        <v>55</v>
      </c>
      <c r="AH18" s="13" t="s">
        <v>57</v>
      </c>
      <c r="AI18" s="13" t="s">
        <v>58</v>
      </c>
      <c r="AJ18" s="6" t="str">
        <f>""</f>
        <v/>
      </c>
      <c r="AK18" s="6"/>
      <c r="AL18" s="12" t="s">
        <v>0</v>
      </c>
      <c r="AM18" s="12" t="s">
        <v>50</v>
      </c>
      <c r="AN18" s="12" t="s">
        <v>51</v>
      </c>
      <c r="AO18" s="12" t="s">
        <v>52</v>
      </c>
      <c r="AP18" s="12" t="s">
        <v>53</v>
      </c>
      <c r="AQ18" s="12" t="s">
        <v>54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ht="14.25" customHeight="1">
      <c r="A19" s="6"/>
      <c r="B19" s="14">
        <f t="shared" ref="B19:B30" si="6">B3</f>
        <v>44652</v>
      </c>
      <c r="C19" s="6">
        <f t="shared" ref="C19:C30" si="7">E3</f>
        <v>611</v>
      </c>
      <c r="D19" s="6"/>
      <c r="E19" s="14">
        <f t="shared" ref="E19:E30" si="8">B19</f>
        <v>44652</v>
      </c>
      <c r="F19" s="15">
        <f t="shared" ref="F19:F30" si="9">C3/E3</f>
        <v>0.8461538462</v>
      </c>
      <c r="G19" s="15">
        <f t="shared" ref="G19:G30" si="10">D3/E3</f>
        <v>0.1538461538</v>
      </c>
      <c r="H19" s="6"/>
      <c r="I19" s="14">
        <f t="shared" ref="I19:I30" si="11">E19</f>
        <v>44652</v>
      </c>
      <c r="J19" s="16">
        <f t="shared" ref="J19:N19" si="1">AJ3/$E3</f>
        <v>0.914893617</v>
      </c>
      <c r="K19" s="16">
        <f t="shared" si="1"/>
        <v>0.06873977087</v>
      </c>
      <c r="L19" s="16">
        <f t="shared" si="1"/>
        <v>0.01145662848</v>
      </c>
      <c r="M19" s="16">
        <f t="shared" si="1"/>
        <v>0.001636661211</v>
      </c>
      <c r="N19" s="16">
        <f t="shared" si="1"/>
        <v>0.003273322422</v>
      </c>
      <c r="O19" s="6"/>
      <c r="P19" s="14">
        <f t="shared" si="2"/>
        <v>44652</v>
      </c>
      <c r="Q19" s="17">
        <f t="shared" ref="Q19:Q30" si="13">G3</f>
        <v>1220.193379</v>
      </c>
      <c r="R19" s="17">
        <f t="shared" ref="R19:R30" si="14">J3</f>
        <v>1253.578847</v>
      </c>
      <c r="S19" s="17">
        <f t="shared" ref="S19:S30" si="15">M3</f>
        <v>1263.493335</v>
      </c>
      <c r="T19" s="17" t="str">
        <f t="shared" ref="T19:T30" si="16">P3</f>
        <v/>
      </c>
      <c r="U19" s="17">
        <f t="shared" ref="U19:U30" si="17">S3</f>
        <v>1153.052147</v>
      </c>
      <c r="V19" s="6"/>
      <c r="W19" s="14">
        <f t="shared" si="3"/>
        <v>44652</v>
      </c>
      <c r="X19" s="17">
        <f t="shared" ref="X19:X30" si="18">V3</f>
        <v>1399.375724</v>
      </c>
      <c r="Y19" s="17">
        <f t="shared" ref="Y19:Y30" si="19">Y3</f>
        <v>1430.660163</v>
      </c>
      <c r="Z19" s="17" t="str">
        <f t="shared" ref="Z19:Z30" si="20">AB3</f>
        <v/>
      </c>
      <c r="AA19" s="17">
        <f t="shared" ref="AA19:AA30" si="21">AE3</f>
        <v>1464.291045</v>
      </c>
      <c r="AB19" s="17">
        <f t="shared" ref="AB19:AB30" si="22">AH3</f>
        <v>1443.360153</v>
      </c>
      <c r="AC19" s="6"/>
      <c r="AD19" s="18">
        <f t="shared" ref="AD19:AE19" si="4">AO3</f>
        <v>44663.48424</v>
      </c>
      <c r="AE19" s="6">
        <f t="shared" si="4"/>
        <v>1512</v>
      </c>
      <c r="AF19" s="6"/>
      <c r="AG19" s="14">
        <f t="shared" ref="AG19:AG30" si="24">W19</f>
        <v>44652</v>
      </c>
      <c r="AH19" s="6">
        <f t="shared" ref="AH19:AH30" si="25">AR3</f>
        <v>326</v>
      </c>
      <c r="AI19" s="6">
        <f t="shared" ref="AI19:AI30" si="26">AV3</f>
        <v>261</v>
      </c>
      <c r="AJ19" s="6"/>
      <c r="AK19" s="6"/>
      <c r="AL19" s="14">
        <f t="shared" ref="AL19:AL30" si="27">AG19</f>
        <v>44652</v>
      </c>
      <c r="AM19" s="6">
        <f t="shared" ref="AM19:AQ19" si="5">AJ3/$E3</f>
        <v>0.914893617</v>
      </c>
      <c r="AN19" s="6">
        <f t="shared" si="5"/>
        <v>0.06873977087</v>
      </c>
      <c r="AO19" s="6">
        <f t="shared" si="5"/>
        <v>0.01145662848</v>
      </c>
      <c r="AP19" s="6">
        <f t="shared" si="5"/>
        <v>0.001636661211</v>
      </c>
      <c r="AQ19" s="6">
        <f t="shared" si="5"/>
        <v>0.003273322422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ht="14.25" customHeight="1">
      <c r="A20" s="6"/>
      <c r="B20" s="14">
        <f t="shared" si="6"/>
        <v>44682</v>
      </c>
      <c r="C20" s="6">
        <f t="shared" si="7"/>
        <v>466</v>
      </c>
      <c r="D20" s="6"/>
      <c r="E20" s="14">
        <f t="shared" si="8"/>
        <v>44682</v>
      </c>
      <c r="F20" s="15">
        <f t="shared" si="9"/>
        <v>0.9957081545</v>
      </c>
      <c r="G20" s="15">
        <f t="shared" si="10"/>
        <v>0.004291845494</v>
      </c>
      <c r="H20" s="6"/>
      <c r="I20" s="14">
        <f t="shared" si="11"/>
        <v>44682</v>
      </c>
      <c r="J20" s="16">
        <f t="shared" ref="J20:N20" si="12">AJ4/$E4</f>
        <v>0.8991416309</v>
      </c>
      <c r="K20" s="16">
        <f t="shared" si="12"/>
        <v>0.07296137339</v>
      </c>
      <c r="L20" s="16">
        <f t="shared" si="12"/>
        <v>0.01931330472</v>
      </c>
      <c r="M20" s="16">
        <f t="shared" si="12"/>
        <v>0.004291845494</v>
      </c>
      <c r="N20" s="16">
        <f t="shared" si="12"/>
        <v>0.004291845494</v>
      </c>
      <c r="O20" s="6"/>
      <c r="P20" s="14">
        <f t="shared" si="2"/>
        <v>44682</v>
      </c>
      <c r="Q20" s="17">
        <f t="shared" si="13"/>
        <v>1176.630722</v>
      </c>
      <c r="R20" s="17">
        <f t="shared" si="14"/>
        <v>1190.21862</v>
      </c>
      <c r="S20" s="17">
        <f t="shared" si="15"/>
        <v>1196.446143</v>
      </c>
      <c r="T20" s="17">
        <f t="shared" si="16"/>
        <v>1212.124508</v>
      </c>
      <c r="U20" s="17">
        <f t="shared" si="17"/>
        <v>1228.649165</v>
      </c>
      <c r="V20" s="6"/>
      <c r="W20" s="14">
        <f t="shared" si="3"/>
        <v>44682</v>
      </c>
      <c r="X20" s="17">
        <f t="shared" si="18"/>
        <v>1373.636364</v>
      </c>
      <c r="Y20" s="17" t="str">
        <f t="shared" si="19"/>
        <v/>
      </c>
      <c r="Z20" s="17" t="str">
        <f t="shared" si="20"/>
        <v/>
      </c>
      <c r="AA20" s="17" t="str">
        <f t="shared" si="21"/>
        <v/>
      </c>
      <c r="AB20" s="17" t="str">
        <f t="shared" si="22"/>
        <v/>
      </c>
      <c r="AC20" s="6"/>
      <c r="AD20" s="18">
        <f t="shared" ref="AD20:AE20" si="23">AO4</f>
        <v>44708.49451</v>
      </c>
      <c r="AE20" s="6">
        <f t="shared" si="23"/>
        <v>1378</v>
      </c>
      <c r="AF20" s="6"/>
      <c r="AG20" s="14">
        <f t="shared" si="24"/>
        <v>44682</v>
      </c>
      <c r="AH20" s="6">
        <f t="shared" si="25"/>
        <v>234</v>
      </c>
      <c r="AI20" s="6">
        <f t="shared" si="26"/>
        <v>10</v>
      </c>
      <c r="AJ20" s="6"/>
      <c r="AK20" s="6"/>
      <c r="AL20" s="14">
        <f t="shared" si="27"/>
        <v>44682</v>
      </c>
      <c r="AM20" s="6">
        <f t="shared" ref="AM20:AQ20" si="28">AJ4/$E4</f>
        <v>0.8991416309</v>
      </c>
      <c r="AN20" s="6">
        <f t="shared" si="28"/>
        <v>0.07296137339</v>
      </c>
      <c r="AO20" s="6">
        <f t="shared" si="28"/>
        <v>0.01931330472</v>
      </c>
      <c r="AP20" s="6">
        <f t="shared" si="28"/>
        <v>0.004291845494</v>
      </c>
      <c r="AQ20" s="6">
        <f t="shared" si="28"/>
        <v>0.004291845494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ht="14.25" customHeight="1">
      <c r="A21" s="6"/>
      <c r="B21" s="14">
        <f t="shared" si="6"/>
        <v>44713</v>
      </c>
      <c r="C21" s="6">
        <f t="shared" si="7"/>
        <v>517</v>
      </c>
      <c r="D21" s="6"/>
      <c r="E21" s="14">
        <f t="shared" si="8"/>
        <v>44713</v>
      </c>
      <c r="F21" s="15">
        <f t="shared" si="9"/>
        <v>0.998065764</v>
      </c>
      <c r="G21" s="15">
        <f t="shared" si="10"/>
        <v>0.001934235977</v>
      </c>
      <c r="H21" s="6"/>
      <c r="I21" s="14">
        <f t="shared" si="11"/>
        <v>44713</v>
      </c>
      <c r="J21" s="16">
        <f t="shared" ref="J21:N21" si="29">AJ5/$E5</f>
        <v>0.9013539652</v>
      </c>
      <c r="K21" s="16">
        <f t="shared" si="29"/>
        <v>0.06769825919</v>
      </c>
      <c r="L21" s="16">
        <f t="shared" si="29"/>
        <v>0.0251450677</v>
      </c>
      <c r="M21" s="16">
        <f t="shared" si="29"/>
        <v>0.00580270793</v>
      </c>
      <c r="N21" s="16">
        <f t="shared" si="29"/>
        <v>0</v>
      </c>
      <c r="O21" s="6"/>
      <c r="P21" s="14">
        <f t="shared" si="2"/>
        <v>44713</v>
      </c>
      <c r="Q21" s="17">
        <f t="shared" si="13"/>
        <v>1134.592564</v>
      </c>
      <c r="R21" s="17">
        <f t="shared" si="14"/>
        <v>1138.755638</v>
      </c>
      <c r="S21" s="17">
        <f t="shared" si="15"/>
        <v>1185.216546</v>
      </c>
      <c r="T21" s="17">
        <f t="shared" si="16"/>
        <v>1178.207729</v>
      </c>
      <c r="U21" s="17" t="str">
        <f t="shared" si="17"/>
        <v/>
      </c>
      <c r="V21" s="6"/>
      <c r="W21" s="14">
        <f t="shared" si="3"/>
        <v>44713</v>
      </c>
      <c r="X21" s="17">
        <f t="shared" si="18"/>
        <v>1385.666667</v>
      </c>
      <c r="Y21" s="17" t="str">
        <f t="shared" si="19"/>
        <v/>
      </c>
      <c r="Z21" s="17" t="str">
        <f t="shared" si="20"/>
        <v/>
      </c>
      <c r="AA21" s="17" t="str">
        <f t="shared" si="21"/>
        <v/>
      </c>
      <c r="AB21" s="17" t="str">
        <f t="shared" si="22"/>
        <v/>
      </c>
      <c r="AC21" s="6"/>
      <c r="AD21" s="18">
        <f t="shared" ref="AD21:AE21" si="30">AO5</f>
        <v>44718.49936</v>
      </c>
      <c r="AE21" s="6">
        <f t="shared" si="30"/>
        <v>1390</v>
      </c>
      <c r="AF21" s="6"/>
      <c r="AG21" s="14">
        <f t="shared" si="24"/>
        <v>44713</v>
      </c>
      <c r="AH21" s="6">
        <f t="shared" si="25"/>
        <v>147</v>
      </c>
      <c r="AI21" s="6">
        <f t="shared" si="26"/>
        <v>3</v>
      </c>
      <c r="AJ21" s="6"/>
      <c r="AK21" s="6"/>
      <c r="AL21" s="14">
        <f t="shared" si="27"/>
        <v>44713</v>
      </c>
      <c r="AM21" s="6">
        <f t="shared" ref="AM21:AQ21" si="31">AJ5/$E5</f>
        <v>0.9013539652</v>
      </c>
      <c r="AN21" s="6">
        <f t="shared" si="31"/>
        <v>0.06769825919</v>
      </c>
      <c r="AO21" s="6">
        <f t="shared" si="31"/>
        <v>0.0251450677</v>
      </c>
      <c r="AP21" s="6">
        <f t="shared" si="31"/>
        <v>0.00580270793</v>
      </c>
      <c r="AQ21" s="6">
        <f t="shared" si="31"/>
        <v>0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ht="14.25" customHeight="1">
      <c r="A22" s="6"/>
      <c r="B22" s="14">
        <f t="shared" si="6"/>
        <v>44743</v>
      </c>
      <c r="C22" s="6">
        <f t="shared" si="7"/>
        <v>468</v>
      </c>
      <c r="D22" s="6"/>
      <c r="E22" s="14">
        <f t="shared" si="8"/>
        <v>44743</v>
      </c>
      <c r="F22" s="15">
        <f t="shared" si="9"/>
        <v>0.9893162393</v>
      </c>
      <c r="G22" s="15">
        <f t="shared" si="10"/>
        <v>0.01068376068</v>
      </c>
      <c r="H22" s="6"/>
      <c r="I22" s="14">
        <f t="shared" si="11"/>
        <v>44743</v>
      </c>
      <c r="J22" s="16">
        <f t="shared" ref="J22:N22" si="32">AJ6/$E6</f>
        <v>0.8867521368</v>
      </c>
      <c r="K22" s="16">
        <f t="shared" si="32"/>
        <v>0.07905982906</v>
      </c>
      <c r="L22" s="16">
        <f t="shared" si="32"/>
        <v>0.02564102564</v>
      </c>
      <c r="M22" s="16">
        <f t="shared" si="32"/>
        <v>0.008547008547</v>
      </c>
      <c r="N22" s="16">
        <f t="shared" si="32"/>
        <v>0</v>
      </c>
      <c r="O22" s="6"/>
      <c r="P22" s="14">
        <f t="shared" si="2"/>
        <v>44743</v>
      </c>
      <c r="Q22" s="17">
        <f t="shared" si="13"/>
        <v>1143.7239</v>
      </c>
      <c r="R22" s="17">
        <f t="shared" si="14"/>
        <v>1154.669587</v>
      </c>
      <c r="S22" s="17">
        <f t="shared" si="15"/>
        <v>1177.274809</v>
      </c>
      <c r="T22" s="17">
        <f t="shared" si="16"/>
        <v>1127.722168</v>
      </c>
      <c r="U22" s="17" t="str">
        <f t="shared" si="17"/>
        <v/>
      </c>
      <c r="V22" s="6"/>
      <c r="W22" s="14">
        <f t="shared" si="3"/>
        <v>44743</v>
      </c>
      <c r="X22" s="17">
        <f t="shared" si="18"/>
        <v>1409.12406</v>
      </c>
      <c r="Y22" s="17" t="str">
        <f t="shared" si="19"/>
        <v/>
      </c>
      <c r="Z22" s="17" t="str">
        <f t="shared" si="20"/>
        <v/>
      </c>
      <c r="AA22" s="17" t="str">
        <f t="shared" si="21"/>
        <v/>
      </c>
      <c r="AB22" s="17" t="str">
        <f t="shared" si="22"/>
        <v/>
      </c>
      <c r="AC22" s="6"/>
      <c r="AD22" s="18">
        <f t="shared" ref="AD22:AE22" si="33">AO6</f>
        <v>44757.50985</v>
      </c>
      <c r="AE22" s="6">
        <f t="shared" si="33"/>
        <v>1500</v>
      </c>
      <c r="AF22" s="6"/>
      <c r="AG22" s="14">
        <f t="shared" si="24"/>
        <v>44743</v>
      </c>
      <c r="AH22" s="6">
        <f t="shared" si="25"/>
        <v>160</v>
      </c>
      <c r="AI22" s="6">
        <f t="shared" si="26"/>
        <v>14</v>
      </c>
      <c r="AJ22" s="6"/>
      <c r="AK22" s="6"/>
      <c r="AL22" s="14">
        <f t="shared" si="27"/>
        <v>44743</v>
      </c>
      <c r="AM22" s="6">
        <f t="shared" ref="AM22:AQ22" si="34">AJ6/$E6</f>
        <v>0.8867521368</v>
      </c>
      <c r="AN22" s="6">
        <f t="shared" si="34"/>
        <v>0.07905982906</v>
      </c>
      <c r="AO22" s="6">
        <f t="shared" si="34"/>
        <v>0.02564102564</v>
      </c>
      <c r="AP22" s="6">
        <f t="shared" si="34"/>
        <v>0.008547008547</v>
      </c>
      <c r="AQ22" s="6">
        <f t="shared" si="34"/>
        <v>0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ht="14.25" customHeight="1">
      <c r="A23" s="6"/>
      <c r="B23" s="14">
        <f t="shared" si="6"/>
        <v>44774</v>
      </c>
      <c r="C23" s="6">
        <f t="shared" si="7"/>
        <v>768</v>
      </c>
      <c r="D23" s="6"/>
      <c r="E23" s="14">
        <f t="shared" si="8"/>
        <v>44774</v>
      </c>
      <c r="F23" s="15">
        <f t="shared" si="9"/>
        <v>0.8958333333</v>
      </c>
      <c r="G23" s="15">
        <f t="shared" si="10"/>
        <v>0.1041666667</v>
      </c>
      <c r="H23" s="6"/>
      <c r="I23" s="14">
        <f t="shared" si="11"/>
        <v>44774</v>
      </c>
      <c r="J23" s="16">
        <f t="shared" ref="J23:N23" si="35">AJ7/$E7</f>
        <v>0.9114583333</v>
      </c>
      <c r="K23" s="16">
        <f t="shared" si="35"/>
        <v>0.06510416667</v>
      </c>
      <c r="L23" s="16">
        <f t="shared" si="35"/>
        <v>0.01692708333</v>
      </c>
      <c r="M23" s="16">
        <f t="shared" si="35"/>
        <v>0.006510416667</v>
      </c>
      <c r="N23" s="16">
        <f t="shared" si="35"/>
        <v>0</v>
      </c>
      <c r="O23" s="6"/>
      <c r="P23" s="14">
        <f t="shared" si="2"/>
        <v>44774</v>
      </c>
      <c r="Q23" s="17">
        <f t="shared" si="13"/>
        <v>1206.752468</v>
      </c>
      <c r="R23" s="17">
        <f t="shared" si="14"/>
        <v>1222.645565</v>
      </c>
      <c r="S23" s="17">
        <f t="shared" si="15"/>
        <v>1230.669858</v>
      </c>
      <c r="T23" s="17">
        <f t="shared" si="16"/>
        <v>1245.437723</v>
      </c>
      <c r="U23" s="17" t="str">
        <f t="shared" si="17"/>
        <v/>
      </c>
      <c r="V23" s="6"/>
      <c r="W23" s="14">
        <f t="shared" si="3"/>
        <v>44774</v>
      </c>
      <c r="X23" s="17">
        <f t="shared" si="18"/>
        <v>1400.584282</v>
      </c>
      <c r="Y23" s="17">
        <f t="shared" si="19"/>
        <v>1400.364038</v>
      </c>
      <c r="Z23" s="17" t="str">
        <f t="shared" si="20"/>
        <v/>
      </c>
      <c r="AA23" s="17" t="str">
        <f t="shared" si="21"/>
        <v/>
      </c>
      <c r="AB23" s="17" t="str">
        <f t="shared" si="22"/>
        <v/>
      </c>
      <c r="AC23" s="6"/>
      <c r="AD23" s="18">
        <f t="shared" ref="AD23:AE23" si="36">AO7</f>
        <v>44804.47874</v>
      </c>
      <c r="AE23" s="6">
        <f t="shared" si="36"/>
        <v>1483</v>
      </c>
      <c r="AF23" s="6"/>
      <c r="AG23" s="14">
        <f t="shared" si="24"/>
        <v>44774</v>
      </c>
      <c r="AH23" s="6">
        <f t="shared" si="25"/>
        <v>153</v>
      </c>
      <c r="AI23" s="6">
        <f t="shared" si="26"/>
        <v>52</v>
      </c>
      <c r="AJ23" s="6"/>
      <c r="AK23" s="6"/>
      <c r="AL23" s="14">
        <f t="shared" si="27"/>
        <v>44774</v>
      </c>
      <c r="AM23" s="6">
        <f t="shared" ref="AM23:AQ23" si="37">AJ7/$E7</f>
        <v>0.9114583333</v>
      </c>
      <c r="AN23" s="6">
        <f t="shared" si="37"/>
        <v>0.06510416667</v>
      </c>
      <c r="AO23" s="6">
        <f t="shared" si="37"/>
        <v>0.01692708333</v>
      </c>
      <c r="AP23" s="6">
        <f t="shared" si="37"/>
        <v>0.006510416667</v>
      </c>
      <c r="AQ23" s="6">
        <f t="shared" si="37"/>
        <v>0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ht="14.25" customHeight="1">
      <c r="A24" s="6"/>
      <c r="B24" s="14">
        <f t="shared" si="6"/>
        <v>44805</v>
      </c>
      <c r="C24" s="6">
        <f t="shared" si="7"/>
        <v>493</v>
      </c>
      <c r="D24" s="6"/>
      <c r="E24" s="14">
        <f t="shared" si="8"/>
        <v>44805</v>
      </c>
      <c r="F24" s="15">
        <f t="shared" si="9"/>
        <v>0.8498985801</v>
      </c>
      <c r="G24" s="15">
        <f t="shared" si="10"/>
        <v>0.1501014199</v>
      </c>
      <c r="H24" s="6"/>
      <c r="I24" s="14">
        <f t="shared" si="11"/>
        <v>44805</v>
      </c>
      <c r="J24" s="16">
        <f t="shared" ref="J24:N24" si="38">AJ8/$E8</f>
        <v>0.8823529412</v>
      </c>
      <c r="K24" s="16">
        <f t="shared" si="38"/>
        <v>0.07910750507</v>
      </c>
      <c r="L24" s="16">
        <f t="shared" si="38"/>
        <v>0.03245436105</v>
      </c>
      <c r="M24" s="16">
        <f t="shared" si="38"/>
        <v>0.006085192698</v>
      </c>
      <c r="N24" s="16">
        <f t="shared" si="38"/>
        <v>0</v>
      </c>
      <c r="O24" s="6"/>
      <c r="P24" s="14">
        <f t="shared" si="2"/>
        <v>44805</v>
      </c>
      <c r="Q24" s="17">
        <f t="shared" si="13"/>
        <v>1205.932278</v>
      </c>
      <c r="R24" s="17">
        <f t="shared" si="14"/>
        <v>1214.698827</v>
      </c>
      <c r="S24" s="17">
        <f t="shared" si="15"/>
        <v>1208.318296</v>
      </c>
      <c r="T24" s="17">
        <f t="shared" si="16"/>
        <v>1255.461576</v>
      </c>
      <c r="U24" s="17" t="str">
        <f t="shared" si="17"/>
        <v/>
      </c>
      <c r="V24" s="6"/>
      <c r="W24" s="14">
        <f t="shared" si="3"/>
        <v>44805</v>
      </c>
      <c r="X24" s="17">
        <f t="shared" si="18"/>
        <v>1392.992149</v>
      </c>
      <c r="Y24" s="17">
        <f t="shared" si="19"/>
        <v>1441.003263</v>
      </c>
      <c r="Z24" s="17">
        <f t="shared" si="20"/>
        <v>1495.228571</v>
      </c>
      <c r="AA24" s="17" t="str">
        <f t="shared" si="21"/>
        <v/>
      </c>
      <c r="AB24" s="17" t="str">
        <f t="shared" si="22"/>
        <v/>
      </c>
      <c r="AC24" s="6"/>
      <c r="AD24" s="18">
        <f t="shared" ref="AD24:AE24" si="39">AO8</f>
        <v>44826.44066</v>
      </c>
      <c r="AE24" s="6">
        <f t="shared" si="39"/>
        <v>1533</v>
      </c>
      <c r="AF24" s="6"/>
      <c r="AG24" s="14">
        <f t="shared" si="24"/>
        <v>44805</v>
      </c>
      <c r="AH24" s="6">
        <f t="shared" si="25"/>
        <v>156</v>
      </c>
      <c r="AI24" s="6">
        <f t="shared" si="26"/>
        <v>70</v>
      </c>
      <c r="AJ24" s="6"/>
      <c r="AK24" s="6"/>
      <c r="AL24" s="14">
        <f t="shared" si="27"/>
        <v>44805</v>
      </c>
      <c r="AM24" s="6">
        <f t="shared" ref="AM24:AQ24" si="40">AJ8/$E8</f>
        <v>0.8823529412</v>
      </c>
      <c r="AN24" s="6">
        <f t="shared" si="40"/>
        <v>0.07910750507</v>
      </c>
      <c r="AO24" s="6">
        <f t="shared" si="40"/>
        <v>0.03245436105</v>
      </c>
      <c r="AP24" s="6">
        <f t="shared" si="40"/>
        <v>0.006085192698</v>
      </c>
      <c r="AQ24" s="6">
        <f t="shared" si="40"/>
        <v>0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ht="14.25" customHeight="1">
      <c r="A25" s="6"/>
      <c r="B25" s="14">
        <f t="shared" si="6"/>
        <v>44835</v>
      </c>
      <c r="C25" s="6">
        <f t="shared" si="7"/>
        <v>182</v>
      </c>
      <c r="D25" s="6"/>
      <c r="E25" s="14">
        <f t="shared" si="8"/>
        <v>44835</v>
      </c>
      <c r="F25" s="15">
        <f t="shared" si="9"/>
        <v>0.6813186813</v>
      </c>
      <c r="G25" s="15">
        <f t="shared" si="10"/>
        <v>0.3186813187</v>
      </c>
      <c r="H25" s="6"/>
      <c r="I25" s="14">
        <f t="shared" si="11"/>
        <v>44835</v>
      </c>
      <c r="J25" s="16">
        <f t="shared" ref="J25:N25" si="41">AJ9/$E9</f>
        <v>0.8956043956</v>
      </c>
      <c r="K25" s="16">
        <f t="shared" si="41"/>
        <v>0.09340659341</v>
      </c>
      <c r="L25" s="16">
        <f t="shared" si="41"/>
        <v>0.01098901099</v>
      </c>
      <c r="M25" s="16">
        <f t="shared" si="41"/>
        <v>0</v>
      </c>
      <c r="N25" s="16">
        <f t="shared" si="41"/>
        <v>0</v>
      </c>
      <c r="O25" s="6"/>
      <c r="P25" s="14">
        <f t="shared" si="2"/>
        <v>44835</v>
      </c>
      <c r="Q25" s="17">
        <f t="shared" si="13"/>
        <v>1282.531643</v>
      </c>
      <c r="R25" s="17">
        <f t="shared" si="14"/>
        <v>1278.02951</v>
      </c>
      <c r="S25" s="17">
        <f t="shared" si="15"/>
        <v>1048.8</v>
      </c>
      <c r="T25" s="17" t="str">
        <f t="shared" si="16"/>
        <v/>
      </c>
      <c r="U25" s="17" t="str">
        <f t="shared" si="17"/>
        <v/>
      </c>
      <c r="V25" s="6"/>
      <c r="W25" s="14">
        <f t="shared" si="3"/>
        <v>44835</v>
      </c>
      <c r="X25" s="17">
        <f t="shared" si="18"/>
        <v>1390.330247</v>
      </c>
      <c r="Y25" s="17">
        <f t="shared" si="19"/>
        <v>1409.180952</v>
      </c>
      <c r="Z25" s="17">
        <f t="shared" si="20"/>
        <v>1410.5</v>
      </c>
      <c r="AA25" s="17" t="str">
        <f t="shared" si="21"/>
        <v/>
      </c>
      <c r="AB25" s="17" t="str">
        <f t="shared" si="22"/>
        <v/>
      </c>
      <c r="AC25" s="6"/>
      <c r="AD25" s="18">
        <f t="shared" ref="AD25:AE25" si="42">AO9</f>
        <v>44858.45904</v>
      </c>
      <c r="AE25" s="6">
        <f t="shared" si="42"/>
        <v>1515</v>
      </c>
      <c r="AF25" s="6"/>
      <c r="AG25" s="14">
        <f t="shared" si="24"/>
        <v>44835</v>
      </c>
      <c r="AH25" s="6">
        <f t="shared" si="25"/>
        <v>85</v>
      </c>
      <c r="AI25" s="6">
        <f t="shared" si="26"/>
        <v>76</v>
      </c>
      <c r="AJ25" s="6"/>
      <c r="AK25" s="6"/>
      <c r="AL25" s="14">
        <f t="shared" si="27"/>
        <v>44835</v>
      </c>
      <c r="AM25" s="6">
        <f t="shared" ref="AM25:AQ25" si="43">AJ9/$E9</f>
        <v>0.8956043956</v>
      </c>
      <c r="AN25" s="6">
        <f t="shared" si="43"/>
        <v>0.09340659341</v>
      </c>
      <c r="AO25" s="6">
        <f t="shared" si="43"/>
        <v>0.01098901099</v>
      </c>
      <c r="AP25" s="6">
        <f t="shared" si="43"/>
        <v>0</v>
      </c>
      <c r="AQ25" s="6">
        <f t="shared" si="43"/>
        <v>0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ht="14.25" customHeight="1">
      <c r="A26" s="6"/>
      <c r="B26" s="14">
        <f t="shared" si="6"/>
        <v>44866</v>
      </c>
      <c r="C26" s="6">
        <f t="shared" si="7"/>
        <v>337</v>
      </c>
      <c r="D26" s="6"/>
      <c r="E26" s="14">
        <f t="shared" si="8"/>
        <v>44866</v>
      </c>
      <c r="F26" s="15">
        <f t="shared" si="9"/>
        <v>0.6735905045</v>
      </c>
      <c r="G26" s="15">
        <f t="shared" si="10"/>
        <v>0.3264094955</v>
      </c>
      <c r="H26" s="6"/>
      <c r="I26" s="14">
        <f t="shared" si="11"/>
        <v>44866</v>
      </c>
      <c r="J26" s="16">
        <f t="shared" ref="J26:N26" si="44">AJ10/$E10</f>
        <v>0.821958457</v>
      </c>
      <c r="K26" s="16">
        <f t="shared" si="44"/>
        <v>0.09198813056</v>
      </c>
      <c r="L26" s="16">
        <f t="shared" si="44"/>
        <v>0.07121661721</v>
      </c>
      <c r="M26" s="16">
        <f t="shared" si="44"/>
        <v>0.0118694362</v>
      </c>
      <c r="N26" s="16">
        <f t="shared" si="44"/>
        <v>0.00296735905</v>
      </c>
      <c r="O26" s="6"/>
      <c r="P26" s="14">
        <f t="shared" si="2"/>
        <v>44866</v>
      </c>
      <c r="Q26" s="17">
        <f t="shared" si="13"/>
        <v>1234.567329</v>
      </c>
      <c r="R26" s="17">
        <f t="shared" si="14"/>
        <v>1183.39717</v>
      </c>
      <c r="S26" s="17">
        <f t="shared" si="15"/>
        <v>1152.201493</v>
      </c>
      <c r="T26" s="17">
        <f t="shared" si="16"/>
        <v>1260.44159</v>
      </c>
      <c r="U26" s="17">
        <f t="shared" si="17"/>
        <v>1270.672131</v>
      </c>
      <c r="V26" s="6"/>
      <c r="W26" s="14">
        <f t="shared" si="3"/>
        <v>44866</v>
      </c>
      <c r="X26" s="17">
        <f t="shared" si="18"/>
        <v>1419.87542</v>
      </c>
      <c r="Y26" s="17">
        <f t="shared" si="19"/>
        <v>1428.26877</v>
      </c>
      <c r="Z26" s="17">
        <f t="shared" si="20"/>
        <v>1421.059284</v>
      </c>
      <c r="AA26" s="17" t="str">
        <f t="shared" si="21"/>
        <v/>
      </c>
      <c r="AB26" s="17" t="str">
        <f t="shared" si="22"/>
        <v/>
      </c>
      <c r="AC26" s="6"/>
      <c r="AD26" s="18">
        <f t="shared" ref="AD26:AE26" si="45">AO10</f>
        <v>44870.50329</v>
      </c>
      <c r="AE26" s="6">
        <f t="shared" si="45"/>
        <v>1654</v>
      </c>
      <c r="AF26" s="6"/>
      <c r="AG26" s="14">
        <f t="shared" si="24"/>
        <v>44866</v>
      </c>
      <c r="AH26" s="6">
        <f t="shared" si="25"/>
        <v>498</v>
      </c>
      <c r="AI26" s="6">
        <f t="shared" si="26"/>
        <v>108</v>
      </c>
      <c r="AJ26" s="6"/>
      <c r="AK26" s="6"/>
      <c r="AL26" s="14">
        <f t="shared" si="27"/>
        <v>44866</v>
      </c>
      <c r="AM26" s="6">
        <f t="shared" ref="AM26:AQ26" si="46">AJ10/$E10</f>
        <v>0.821958457</v>
      </c>
      <c r="AN26" s="6">
        <f t="shared" si="46"/>
        <v>0.09198813056</v>
      </c>
      <c r="AO26" s="6">
        <f t="shared" si="46"/>
        <v>0.07121661721</v>
      </c>
      <c r="AP26" s="6">
        <f t="shared" si="46"/>
        <v>0.0118694362</v>
      </c>
      <c r="AQ26" s="6">
        <f t="shared" si="46"/>
        <v>0.00296735905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ht="14.25" customHeight="1">
      <c r="A27" s="6"/>
      <c r="B27" s="14">
        <f t="shared" si="6"/>
        <v>44896</v>
      </c>
      <c r="C27" s="6">
        <f t="shared" si="7"/>
        <v>288</v>
      </c>
      <c r="D27" s="6"/>
      <c r="E27" s="14">
        <f t="shared" si="8"/>
        <v>44896</v>
      </c>
      <c r="F27" s="15">
        <f t="shared" si="9"/>
        <v>0.7847222222</v>
      </c>
      <c r="G27" s="15">
        <f t="shared" si="10"/>
        <v>0.2152777778</v>
      </c>
      <c r="H27" s="6"/>
      <c r="I27" s="14">
        <f t="shared" si="11"/>
        <v>44896</v>
      </c>
      <c r="J27" s="16">
        <f t="shared" ref="J27:N27" si="47">AJ11/$E11</f>
        <v>0.8993055556</v>
      </c>
      <c r="K27" s="16">
        <f t="shared" si="47"/>
        <v>0.03819444444</v>
      </c>
      <c r="L27" s="16">
        <f t="shared" si="47"/>
        <v>0.03819444444</v>
      </c>
      <c r="M27" s="16">
        <f t="shared" si="47"/>
        <v>0.02430555556</v>
      </c>
      <c r="N27" s="16">
        <f t="shared" si="47"/>
        <v>0</v>
      </c>
      <c r="O27" s="6"/>
      <c r="P27" s="14">
        <f t="shared" si="2"/>
        <v>44896</v>
      </c>
      <c r="Q27" s="17">
        <f t="shared" si="13"/>
        <v>1230.285721</v>
      </c>
      <c r="R27" s="17">
        <f t="shared" si="14"/>
        <v>1214.147412</v>
      </c>
      <c r="S27" s="17">
        <f t="shared" si="15"/>
        <v>1271.476951</v>
      </c>
      <c r="T27" s="17">
        <f t="shared" si="16"/>
        <v>1140.698442</v>
      </c>
      <c r="U27" s="17" t="str">
        <f t="shared" si="17"/>
        <v/>
      </c>
      <c r="V27" s="6"/>
      <c r="W27" s="14">
        <f t="shared" si="3"/>
        <v>44896</v>
      </c>
      <c r="X27" s="17">
        <f t="shared" si="18"/>
        <v>1400.21221</v>
      </c>
      <c r="Y27" s="17">
        <f t="shared" si="19"/>
        <v>1408.515598</v>
      </c>
      <c r="Z27" s="17">
        <f t="shared" si="20"/>
        <v>1396.475875</v>
      </c>
      <c r="AA27" s="17">
        <f t="shared" si="21"/>
        <v>1394.447842</v>
      </c>
      <c r="AB27" s="17" t="str">
        <f t="shared" si="22"/>
        <v/>
      </c>
      <c r="AC27" s="6"/>
      <c r="AD27" s="18">
        <f t="shared" ref="AD27:AE27" si="48">AO11</f>
        <v>44900.48584</v>
      </c>
      <c r="AE27" s="6">
        <f t="shared" si="48"/>
        <v>1575</v>
      </c>
      <c r="AF27" s="6"/>
      <c r="AG27" s="14">
        <f t="shared" si="24"/>
        <v>44896</v>
      </c>
      <c r="AH27" s="6">
        <f t="shared" si="25"/>
        <v>155</v>
      </c>
      <c r="AI27" s="6">
        <f t="shared" si="26"/>
        <v>169</v>
      </c>
      <c r="AJ27" s="6"/>
      <c r="AK27" s="6"/>
      <c r="AL27" s="14">
        <f t="shared" si="27"/>
        <v>44896</v>
      </c>
      <c r="AM27" s="6">
        <f t="shared" ref="AM27:AQ27" si="49">AJ11/$E11</f>
        <v>0.8993055556</v>
      </c>
      <c r="AN27" s="6">
        <f t="shared" si="49"/>
        <v>0.03819444444</v>
      </c>
      <c r="AO27" s="6">
        <f t="shared" si="49"/>
        <v>0.03819444444</v>
      </c>
      <c r="AP27" s="6">
        <f t="shared" si="49"/>
        <v>0.02430555556</v>
      </c>
      <c r="AQ27" s="6">
        <f t="shared" si="49"/>
        <v>0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ht="14.25" customHeight="1">
      <c r="A28" s="6"/>
      <c r="B28" s="14">
        <f t="shared" si="6"/>
        <v>44927</v>
      </c>
      <c r="C28" s="6">
        <f t="shared" si="7"/>
        <v>86</v>
      </c>
      <c r="D28" s="6"/>
      <c r="E28" s="14">
        <f t="shared" si="8"/>
        <v>44927</v>
      </c>
      <c r="F28" s="15">
        <f t="shared" si="9"/>
        <v>0.8023255814</v>
      </c>
      <c r="G28" s="15">
        <f t="shared" si="10"/>
        <v>0.1976744186</v>
      </c>
      <c r="H28" s="6"/>
      <c r="I28" s="14">
        <f t="shared" si="11"/>
        <v>44927</v>
      </c>
      <c r="J28" s="16">
        <f t="shared" ref="J28:N28" si="50">AJ12/$E12</f>
        <v>0.9302325581</v>
      </c>
      <c r="K28" s="16">
        <f t="shared" si="50"/>
        <v>0.04651162791</v>
      </c>
      <c r="L28" s="16">
        <f t="shared" si="50"/>
        <v>0.02325581395</v>
      </c>
      <c r="M28" s="16">
        <f t="shared" si="50"/>
        <v>0</v>
      </c>
      <c r="N28" s="16">
        <f t="shared" si="50"/>
        <v>0</v>
      </c>
      <c r="O28" s="6"/>
      <c r="P28" s="14">
        <f t="shared" si="2"/>
        <v>44927</v>
      </c>
      <c r="Q28" s="17">
        <f t="shared" si="13"/>
        <v>1235.583291</v>
      </c>
      <c r="R28" s="17">
        <f t="shared" si="14"/>
        <v>1255.926319</v>
      </c>
      <c r="S28" s="17">
        <f t="shared" si="15"/>
        <v>1309.82243</v>
      </c>
      <c r="T28" s="17" t="str">
        <f t="shared" si="16"/>
        <v/>
      </c>
      <c r="U28" s="17" t="str">
        <f t="shared" si="17"/>
        <v/>
      </c>
      <c r="V28" s="6"/>
      <c r="W28" s="14">
        <f t="shared" si="3"/>
        <v>44927</v>
      </c>
      <c r="X28" s="17">
        <f t="shared" si="18"/>
        <v>1380.40254</v>
      </c>
      <c r="Y28" s="17" t="str">
        <f t="shared" si="19"/>
        <v/>
      </c>
      <c r="Z28" s="17">
        <f t="shared" si="20"/>
        <v>1385.774194</v>
      </c>
      <c r="AA28" s="17" t="str">
        <f t="shared" si="21"/>
        <v/>
      </c>
      <c r="AB28" s="17" t="str">
        <f t="shared" si="22"/>
        <v/>
      </c>
      <c r="AC28" s="6"/>
      <c r="AD28" s="18">
        <f t="shared" ref="AD28:AE28" si="51">AO12</f>
        <v>44954.44868</v>
      </c>
      <c r="AE28" s="6">
        <f t="shared" si="51"/>
        <v>1408</v>
      </c>
      <c r="AF28" s="6"/>
      <c r="AG28" s="14">
        <f t="shared" si="24"/>
        <v>44927</v>
      </c>
      <c r="AH28" s="6">
        <f t="shared" si="25"/>
        <v>107</v>
      </c>
      <c r="AI28" s="6">
        <f t="shared" si="26"/>
        <v>62</v>
      </c>
      <c r="AJ28" s="6"/>
      <c r="AK28" s="6"/>
      <c r="AL28" s="14">
        <f t="shared" si="27"/>
        <v>44927</v>
      </c>
      <c r="AM28" s="6">
        <f t="shared" ref="AM28:AQ28" si="52">AJ12/$E12</f>
        <v>0.9302325581</v>
      </c>
      <c r="AN28" s="6">
        <f t="shared" si="52"/>
        <v>0.04651162791</v>
      </c>
      <c r="AO28" s="6">
        <f t="shared" si="52"/>
        <v>0.02325581395</v>
      </c>
      <c r="AP28" s="6">
        <f t="shared" si="52"/>
        <v>0</v>
      </c>
      <c r="AQ28" s="6">
        <f t="shared" si="52"/>
        <v>0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ht="14.25" customHeight="1">
      <c r="A29" s="6"/>
      <c r="B29" s="14">
        <f t="shared" si="6"/>
        <v>44958</v>
      </c>
      <c r="C29" s="6">
        <f t="shared" si="7"/>
        <v>211</v>
      </c>
      <c r="D29" s="6"/>
      <c r="E29" s="14">
        <f t="shared" si="8"/>
        <v>44958</v>
      </c>
      <c r="F29" s="15">
        <f t="shared" si="9"/>
        <v>0.5213270142</v>
      </c>
      <c r="G29" s="15">
        <f t="shared" si="10"/>
        <v>0.4786729858</v>
      </c>
      <c r="H29" s="6"/>
      <c r="I29" s="14">
        <f t="shared" si="11"/>
        <v>44958</v>
      </c>
      <c r="J29" s="16">
        <f t="shared" ref="J29:N29" si="53">AJ13/$E13</f>
        <v>0.9099526066</v>
      </c>
      <c r="K29" s="16">
        <f t="shared" si="53"/>
        <v>0.05687203791</v>
      </c>
      <c r="L29" s="16">
        <f t="shared" si="53"/>
        <v>0.01895734597</v>
      </c>
      <c r="M29" s="16">
        <f t="shared" si="53"/>
        <v>0.004739336493</v>
      </c>
      <c r="N29" s="16">
        <f t="shared" si="53"/>
        <v>0.009478672986</v>
      </c>
      <c r="O29" s="6"/>
      <c r="P29" s="14">
        <f t="shared" si="2"/>
        <v>44958</v>
      </c>
      <c r="Q29" s="17">
        <f t="shared" si="13"/>
        <v>1267.609599</v>
      </c>
      <c r="R29" s="17">
        <f t="shared" si="14"/>
        <v>1224.729369</v>
      </c>
      <c r="S29" s="17">
        <f t="shared" si="15"/>
        <v>1288.277015</v>
      </c>
      <c r="T29" s="17" t="str">
        <f t="shared" si="16"/>
        <v/>
      </c>
      <c r="U29" s="17">
        <f t="shared" si="17"/>
        <v>1193.470357</v>
      </c>
      <c r="V29" s="6"/>
      <c r="W29" s="14">
        <f t="shared" si="3"/>
        <v>44958</v>
      </c>
      <c r="X29" s="17">
        <f t="shared" si="18"/>
        <v>1407.831259</v>
      </c>
      <c r="Y29" s="17">
        <f t="shared" si="19"/>
        <v>1417.831091</v>
      </c>
      <c r="Z29" s="17">
        <f t="shared" si="20"/>
        <v>1412.947368</v>
      </c>
      <c r="AA29" s="17">
        <f t="shared" si="21"/>
        <v>1440.397163</v>
      </c>
      <c r="AB29" s="17" t="str">
        <f t="shared" si="22"/>
        <v/>
      </c>
      <c r="AC29" s="6"/>
      <c r="AD29" s="18">
        <f t="shared" ref="AD29:AE29" si="54">AO13</f>
        <v>44979.51935</v>
      </c>
      <c r="AE29" s="6">
        <f t="shared" si="54"/>
        <v>1558</v>
      </c>
      <c r="AF29" s="6"/>
      <c r="AG29" s="14">
        <f t="shared" si="24"/>
        <v>44958</v>
      </c>
      <c r="AH29" s="6">
        <f t="shared" si="25"/>
        <v>120</v>
      </c>
      <c r="AI29" s="6">
        <f t="shared" si="26"/>
        <v>141</v>
      </c>
      <c r="AJ29" s="6"/>
      <c r="AK29" s="6"/>
      <c r="AL29" s="14">
        <f t="shared" si="27"/>
        <v>44958</v>
      </c>
      <c r="AM29" s="6">
        <f t="shared" ref="AM29:AQ29" si="55">AJ13/$E13</f>
        <v>0.9099526066</v>
      </c>
      <c r="AN29" s="6">
        <f t="shared" si="55"/>
        <v>0.05687203791</v>
      </c>
      <c r="AO29" s="6">
        <f t="shared" si="55"/>
        <v>0.01895734597</v>
      </c>
      <c r="AP29" s="6">
        <f t="shared" si="55"/>
        <v>0.004739336493</v>
      </c>
      <c r="AQ29" s="6">
        <f t="shared" si="55"/>
        <v>0.009478672986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ht="14.25" customHeight="1">
      <c r="A30" s="6"/>
      <c r="B30" s="14">
        <f t="shared" si="6"/>
        <v>44986</v>
      </c>
      <c r="C30" s="6">
        <f t="shared" si="7"/>
        <v>339</v>
      </c>
      <c r="D30" s="6"/>
      <c r="E30" s="14">
        <f t="shared" si="8"/>
        <v>44986</v>
      </c>
      <c r="F30" s="15">
        <f t="shared" si="9"/>
        <v>0.7581120944</v>
      </c>
      <c r="G30" s="15">
        <f t="shared" si="10"/>
        <v>0.2418879056</v>
      </c>
      <c r="H30" s="6"/>
      <c r="I30" s="14">
        <f t="shared" si="11"/>
        <v>44986</v>
      </c>
      <c r="J30" s="16">
        <f t="shared" ref="J30:N30" si="56">AJ14/$E14</f>
        <v>0.8849557522</v>
      </c>
      <c r="K30" s="16">
        <f t="shared" si="56"/>
        <v>0.07079646018</v>
      </c>
      <c r="L30" s="16">
        <f t="shared" si="56"/>
        <v>0.0383480826</v>
      </c>
      <c r="M30" s="16">
        <f t="shared" si="56"/>
        <v>0.002949852507</v>
      </c>
      <c r="N30" s="16">
        <f t="shared" si="56"/>
        <v>0.002949852507</v>
      </c>
      <c r="O30" s="6"/>
      <c r="P30" s="14">
        <f t="shared" si="2"/>
        <v>44986</v>
      </c>
      <c r="Q30" s="17">
        <f t="shared" si="13"/>
        <v>1268.951789</v>
      </c>
      <c r="R30" s="17">
        <f t="shared" si="14"/>
        <v>1209.560402</v>
      </c>
      <c r="S30" s="17">
        <f t="shared" si="15"/>
        <v>1255.061391</v>
      </c>
      <c r="T30" s="17" t="str">
        <f t="shared" si="16"/>
        <v/>
      </c>
      <c r="U30" s="17">
        <f t="shared" si="17"/>
        <v>1175.235897</v>
      </c>
      <c r="V30" s="6"/>
      <c r="W30" s="14">
        <f t="shared" si="3"/>
        <v>44986</v>
      </c>
      <c r="X30" s="17">
        <f t="shared" si="18"/>
        <v>1409.512371</v>
      </c>
      <c r="Y30" s="17">
        <f t="shared" si="19"/>
        <v>1409.070511</v>
      </c>
      <c r="Z30" s="17">
        <f t="shared" si="20"/>
        <v>1439.441993</v>
      </c>
      <c r="AA30" s="17">
        <f t="shared" si="21"/>
        <v>1388.402878</v>
      </c>
      <c r="AB30" s="17" t="str">
        <f t="shared" si="22"/>
        <v/>
      </c>
      <c r="AC30" s="6"/>
      <c r="AD30" s="18">
        <f t="shared" ref="AD30:AE30" si="57">AO14</f>
        <v>45010.50479</v>
      </c>
      <c r="AE30" s="6">
        <f t="shared" si="57"/>
        <v>1566</v>
      </c>
      <c r="AF30" s="6"/>
      <c r="AG30" s="14">
        <f t="shared" si="24"/>
        <v>44986</v>
      </c>
      <c r="AH30" s="6">
        <f t="shared" si="25"/>
        <v>195</v>
      </c>
      <c r="AI30" s="6">
        <f t="shared" si="26"/>
        <v>139</v>
      </c>
      <c r="AJ30" s="6"/>
      <c r="AK30" s="6"/>
      <c r="AL30" s="14">
        <f t="shared" si="27"/>
        <v>44986</v>
      </c>
      <c r="AM30" s="6">
        <f t="shared" ref="AM30:AQ30" si="58">AJ14/$E14</f>
        <v>0.8849557522</v>
      </c>
      <c r="AN30" s="6">
        <f t="shared" si="58"/>
        <v>0.07079646018</v>
      </c>
      <c r="AO30" s="6">
        <f t="shared" si="58"/>
        <v>0.0383480826</v>
      </c>
      <c r="AP30" s="6">
        <f t="shared" si="58"/>
        <v>0.002949852507</v>
      </c>
      <c r="AQ30" s="6">
        <f t="shared" si="58"/>
        <v>0.002949852507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2022-02-23T14:34:13Z</dcterms:created>
  <dc:creator>Nagib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